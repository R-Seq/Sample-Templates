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8190"/>
  </bookViews>
  <sheets>
    <sheet name="Template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65" i="1" l="1"/>
  <c r="C223" i="1"/>
  <c r="G218" i="1"/>
  <c r="T215" i="1"/>
  <c r="S215" i="1"/>
  <c r="R215" i="1"/>
  <c r="R188" i="1" s="1"/>
  <c r="Q215" i="1"/>
  <c r="P215" i="1"/>
  <c r="P188" i="1" s="1"/>
  <c r="O215" i="1"/>
  <c r="X215" i="1" s="1"/>
  <c r="X143" i="1" s="1"/>
  <c r="N215" i="1"/>
  <c r="M215" i="1"/>
  <c r="L215" i="1"/>
  <c r="W215" i="1" s="1"/>
  <c r="W143" i="1" s="1"/>
  <c r="K215" i="1"/>
  <c r="J215" i="1"/>
  <c r="J188" i="1" s="1"/>
  <c r="I215" i="1"/>
  <c r="W214" i="1"/>
  <c r="W142" i="1" s="1"/>
  <c r="T214" i="1"/>
  <c r="S214" i="1"/>
  <c r="R214" i="1"/>
  <c r="Y214" i="1" s="1"/>
  <c r="Y142" i="1" s="1"/>
  <c r="Q214" i="1"/>
  <c r="P214" i="1"/>
  <c r="O214" i="1"/>
  <c r="X214" i="1" s="1"/>
  <c r="N214" i="1"/>
  <c r="M214" i="1"/>
  <c r="L214" i="1"/>
  <c r="K214" i="1"/>
  <c r="J214" i="1"/>
  <c r="I214" i="1"/>
  <c r="V214" i="1" s="1"/>
  <c r="T213" i="1"/>
  <c r="S213" i="1"/>
  <c r="R213" i="1"/>
  <c r="Y213" i="1" s="1"/>
  <c r="Y141" i="1" s="1"/>
  <c r="Q213" i="1"/>
  <c r="X213" i="1" s="1"/>
  <c r="X141" i="1" s="1"/>
  <c r="P213" i="1"/>
  <c r="O213" i="1"/>
  <c r="N213" i="1"/>
  <c r="M213" i="1"/>
  <c r="W213" i="1" s="1"/>
  <c r="W141" i="1" s="1"/>
  <c r="W150" i="1" s="1"/>
  <c r="L213" i="1"/>
  <c r="K213" i="1"/>
  <c r="J213" i="1"/>
  <c r="I213" i="1"/>
  <c r="V213" i="1" s="1"/>
  <c r="C213" i="1"/>
  <c r="T212" i="1"/>
  <c r="S212" i="1"/>
  <c r="R212" i="1"/>
  <c r="R189" i="1" s="1"/>
  <c r="Q212" i="1"/>
  <c r="P212" i="1"/>
  <c r="O212" i="1"/>
  <c r="N212" i="1"/>
  <c r="N189" i="1" s="1"/>
  <c r="M212" i="1"/>
  <c r="L212" i="1"/>
  <c r="W212" i="1" s="1"/>
  <c r="W140" i="1" s="1"/>
  <c r="K212" i="1"/>
  <c r="J212" i="1"/>
  <c r="J189" i="1" s="1"/>
  <c r="I212" i="1"/>
  <c r="V212" i="1" s="1"/>
  <c r="T211" i="1"/>
  <c r="S211" i="1"/>
  <c r="Y211" i="1" s="1"/>
  <c r="Y139" i="1" s="1"/>
  <c r="R211" i="1"/>
  <c r="Q211" i="1"/>
  <c r="X211" i="1" s="1"/>
  <c r="X139" i="1" s="1"/>
  <c r="P211" i="1"/>
  <c r="O211" i="1"/>
  <c r="N211" i="1"/>
  <c r="M211" i="1"/>
  <c r="L211" i="1"/>
  <c r="W211" i="1" s="1"/>
  <c r="W139" i="1" s="1"/>
  <c r="W148" i="1" s="1"/>
  <c r="K211" i="1"/>
  <c r="J211" i="1"/>
  <c r="I211" i="1"/>
  <c r="V211" i="1" s="1"/>
  <c r="T210" i="1"/>
  <c r="S210" i="1"/>
  <c r="R210" i="1"/>
  <c r="Y210" i="1" s="1"/>
  <c r="Y138" i="1" s="1"/>
  <c r="Q210" i="1"/>
  <c r="P210" i="1"/>
  <c r="O210" i="1"/>
  <c r="X210" i="1" s="1"/>
  <c r="X138" i="1" s="1"/>
  <c r="N210" i="1"/>
  <c r="M210" i="1"/>
  <c r="L210" i="1"/>
  <c r="W210" i="1" s="1"/>
  <c r="W138" i="1" s="1"/>
  <c r="K210" i="1"/>
  <c r="J210" i="1"/>
  <c r="I210" i="1"/>
  <c r="V210" i="1" s="1"/>
  <c r="G209" i="1"/>
  <c r="G214" i="1" s="1"/>
  <c r="G224" i="1" s="1"/>
  <c r="Y207" i="1"/>
  <c r="X207" i="1"/>
  <c r="W207" i="1"/>
  <c r="V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T200" i="1"/>
  <c r="T201" i="1" s="1"/>
  <c r="P200" i="1"/>
  <c r="P201" i="1" s="1"/>
  <c r="L200" i="1"/>
  <c r="L201" i="1" s="1"/>
  <c r="T199" i="1"/>
  <c r="S199" i="1"/>
  <c r="R199" i="1"/>
  <c r="Y199" i="1" s="1"/>
  <c r="Y127" i="1" s="1"/>
  <c r="Q199" i="1"/>
  <c r="Q200" i="1" s="1"/>
  <c r="Q201" i="1" s="1"/>
  <c r="P199" i="1"/>
  <c r="O199" i="1"/>
  <c r="X199" i="1" s="1"/>
  <c r="X127" i="1" s="1"/>
  <c r="N199" i="1"/>
  <c r="M199" i="1"/>
  <c r="M200" i="1" s="1"/>
  <c r="M201" i="1" s="1"/>
  <c r="L199" i="1"/>
  <c r="K199" i="1"/>
  <c r="J199" i="1"/>
  <c r="I199" i="1"/>
  <c r="I200" i="1" s="1"/>
  <c r="I201" i="1" s="1"/>
  <c r="W198" i="1"/>
  <c r="T198" i="1"/>
  <c r="S198" i="1"/>
  <c r="S200" i="1" s="1"/>
  <c r="S201" i="1" s="1"/>
  <c r="R198" i="1"/>
  <c r="R200" i="1" s="1"/>
  <c r="R201" i="1" s="1"/>
  <c r="Q198" i="1"/>
  <c r="P198" i="1"/>
  <c r="O198" i="1"/>
  <c r="O200" i="1" s="1"/>
  <c r="O201" i="1" s="1"/>
  <c r="N198" i="1"/>
  <c r="N200" i="1" s="1"/>
  <c r="N201" i="1" s="1"/>
  <c r="M198" i="1"/>
  <c r="L198" i="1"/>
  <c r="K198" i="1"/>
  <c r="K200" i="1" s="1"/>
  <c r="K201" i="1" s="1"/>
  <c r="J198" i="1"/>
  <c r="J200" i="1" s="1"/>
  <c r="J201" i="1" s="1"/>
  <c r="I198" i="1"/>
  <c r="V198" i="1" s="1"/>
  <c r="C197" i="1"/>
  <c r="Q194" i="1"/>
  <c r="Q195" i="1" s="1"/>
  <c r="M194" i="1"/>
  <c r="M195" i="1" s="1"/>
  <c r="I194" i="1"/>
  <c r="I195" i="1" s="1"/>
  <c r="W193" i="1"/>
  <c r="W121" i="1" s="1"/>
  <c r="T193" i="1"/>
  <c r="S193" i="1"/>
  <c r="R193" i="1"/>
  <c r="Q193" i="1"/>
  <c r="P193" i="1"/>
  <c r="O193" i="1"/>
  <c r="X193" i="1" s="1"/>
  <c r="X121" i="1" s="1"/>
  <c r="N193" i="1"/>
  <c r="N194" i="1" s="1"/>
  <c r="N195" i="1" s="1"/>
  <c r="M193" i="1"/>
  <c r="L193" i="1"/>
  <c r="K193" i="1"/>
  <c r="J193" i="1"/>
  <c r="J194" i="1" s="1"/>
  <c r="J195" i="1" s="1"/>
  <c r="I193" i="1"/>
  <c r="V193" i="1" s="1"/>
  <c r="X192" i="1"/>
  <c r="T192" i="1"/>
  <c r="S192" i="1"/>
  <c r="R192" i="1"/>
  <c r="Q192" i="1"/>
  <c r="Q189" i="1" s="1"/>
  <c r="P192" i="1"/>
  <c r="P194" i="1" s="1"/>
  <c r="P195" i="1" s="1"/>
  <c r="O192" i="1"/>
  <c r="N192" i="1"/>
  <c r="M192" i="1"/>
  <c r="M189" i="1" s="1"/>
  <c r="L192" i="1"/>
  <c r="K192" i="1"/>
  <c r="J192" i="1"/>
  <c r="I192" i="1"/>
  <c r="V192" i="1" s="1"/>
  <c r="V194" i="1" s="1"/>
  <c r="V195" i="1" s="1"/>
  <c r="AA191" i="1"/>
  <c r="Y191" i="1"/>
  <c r="X191" i="1"/>
  <c r="W191" i="1"/>
  <c r="V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C191" i="1"/>
  <c r="T188" i="1"/>
  <c r="Q188" i="1"/>
  <c r="N188" i="1"/>
  <c r="M188" i="1"/>
  <c r="L188" i="1"/>
  <c r="I188" i="1"/>
  <c r="Y186" i="1"/>
  <c r="X186" i="1"/>
  <c r="W186" i="1"/>
  <c r="V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G174" i="1"/>
  <c r="B169" i="1"/>
  <c r="B161" i="1"/>
  <c r="AA159" i="1"/>
  <c r="T159" i="1"/>
  <c r="C151" i="1"/>
  <c r="R150" i="1"/>
  <c r="R148" i="1"/>
  <c r="G146" i="1"/>
  <c r="X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G142" i="1"/>
  <c r="G152" i="1" s="1"/>
  <c r="T141" i="1"/>
  <c r="S141" i="1"/>
  <c r="R141" i="1"/>
  <c r="Q141" i="1"/>
  <c r="P141" i="1"/>
  <c r="O141" i="1"/>
  <c r="N141" i="1"/>
  <c r="M141" i="1"/>
  <c r="L141" i="1"/>
  <c r="K141" i="1"/>
  <c r="J141" i="1"/>
  <c r="I141" i="1"/>
  <c r="G141" i="1"/>
  <c r="G150" i="1" s="1"/>
  <c r="C141" i="1"/>
  <c r="G139" i="1"/>
  <c r="G148" i="1" s="1"/>
  <c r="V138" i="1"/>
  <c r="G138" i="1"/>
  <c r="G147" i="1" s="1"/>
  <c r="G137" i="1"/>
  <c r="G143" i="1" s="1"/>
  <c r="G153" i="1" s="1"/>
  <c r="Y135" i="1"/>
  <c r="X135" i="1"/>
  <c r="W135" i="1"/>
  <c r="V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T129" i="1"/>
  <c r="R129" i="1"/>
  <c r="P129" i="1"/>
  <c r="N129" i="1"/>
  <c r="L129" i="1"/>
  <c r="J129" i="1"/>
  <c r="T128" i="1"/>
  <c r="S128" i="1"/>
  <c r="S129" i="1" s="1"/>
  <c r="R128" i="1"/>
  <c r="Q128" i="1"/>
  <c r="Q129" i="1" s="1"/>
  <c r="P128" i="1"/>
  <c r="O128" i="1"/>
  <c r="O129" i="1" s="1"/>
  <c r="N128" i="1"/>
  <c r="M128" i="1"/>
  <c r="M129" i="1" s="1"/>
  <c r="L128" i="1"/>
  <c r="K128" i="1"/>
  <c r="K129" i="1" s="1"/>
  <c r="J128" i="1"/>
  <c r="I128" i="1"/>
  <c r="I129" i="1" s="1"/>
  <c r="C125" i="1"/>
  <c r="S123" i="1"/>
  <c r="Q123" i="1"/>
  <c r="O123" i="1"/>
  <c r="M123" i="1"/>
  <c r="K123" i="1"/>
  <c r="I123" i="1"/>
  <c r="T122" i="1"/>
  <c r="T123" i="1" s="1"/>
  <c r="S122" i="1"/>
  <c r="R122" i="1"/>
  <c r="R123" i="1" s="1"/>
  <c r="Q122" i="1"/>
  <c r="P122" i="1"/>
  <c r="P123" i="1" s="1"/>
  <c r="O122" i="1"/>
  <c r="N122" i="1"/>
  <c r="N123" i="1" s="1"/>
  <c r="M122" i="1"/>
  <c r="L122" i="1"/>
  <c r="L123" i="1" s="1"/>
  <c r="K122" i="1"/>
  <c r="J122" i="1"/>
  <c r="J123" i="1" s="1"/>
  <c r="I122" i="1"/>
  <c r="AA119" i="1"/>
  <c r="Y119" i="1"/>
  <c r="X119" i="1"/>
  <c r="W119" i="1"/>
  <c r="V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C119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Y114" i="1"/>
  <c r="X114" i="1"/>
  <c r="W114" i="1"/>
  <c r="V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G102" i="1"/>
  <c r="B97" i="1"/>
  <c r="B93" i="1"/>
  <c r="B89" i="1"/>
  <c r="AA87" i="1"/>
  <c r="T87" i="1"/>
  <c r="G74" i="1"/>
  <c r="Y71" i="1"/>
  <c r="X71" i="1"/>
  <c r="W71" i="1"/>
  <c r="V71" i="1"/>
  <c r="AA71" i="1" s="1"/>
  <c r="T70" i="1"/>
  <c r="S70" i="1"/>
  <c r="R70" i="1"/>
  <c r="Y70" i="1" s="1"/>
  <c r="Q70" i="1"/>
  <c r="P70" i="1"/>
  <c r="O70" i="1"/>
  <c r="X70" i="1" s="1"/>
  <c r="N70" i="1"/>
  <c r="W70" i="1" s="1"/>
  <c r="M70" i="1"/>
  <c r="L70" i="1"/>
  <c r="K70" i="1"/>
  <c r="J70" i="1"/>
  <c r="I70" i="1"/>
  <c r="V70" i="1" s="1"/>
  <c r="AA70" i="1" s="1"/>
  <c r="T69" i="1"/>
  <c r="S69" i="1"/>
  <c r="R69" i="1"/>
  <c r="Y69" i="1" s="1"/>
  <c r="Q69" i="1"/>
  <c r="P69" i="1"/>
  <c r="O69" i="1"/>
  <c r="X69" i="1" s="1"/>
  <c r="N69" i="1"/>
  <c r="M69" i="1"/>
  <c r="W69" i="1" s="1"/>
  <c r="L69" i="1"/>
  <c r="K69" i="1"/>
  <c r="J69" i="1"/>
  <c r="I69" i="1"/>
  <c r="V69" i="1" s="1"/>
  <c r="AA69" i="1" s="1"/>
  <c r="C69" i="1"/>
  <c r="C70" i="1" s="1"/>
  <c r="C80" i="1" s="1"/>
  <c r="Y68" i="1"/>
  <c r="X68" i="1"/>
  <c r="W68" i="1"/>
  <c r="V68" i="1"/>
  <c r="AA68" i="1" s="1"/>
  <c r="Y67" i="1"/>
  <c r="X67" i="1"/>
  <c r="W67" i="1"/>
  <c r="V67" i="1"/>
  <c r="AA67" i="1" s="1"/>
  <c r="Y66" i="1"/>
  <c r="X66" i="1"/>
  <c r="W66" i="1"/>
  <c r="V66" i="1"/>
  <c r="AA66" i="1" s="1"/>
  <c r="G65" i="1"/>
  <c r="G67" i="1" s="1"/>
  <c r="G76" i="1" s="1"/>
  <c r="Y63" i="1"/>
  <c r="X63" i="1"/>
  <c r="W63" i="1"/>
  <c r="V63" i="1"/>
  <c r="T63" i="1"/>
  <c r="S63" i="1"/>
  <c r="R63" i="1"/>
  <c r="Q63" i="1"/>
  <c r="P63" i="1"/>
  <c r="O63" i="1"/>
  <c r="N63" i="1"/>
  <c r="M63" i="1"/>
  <c r="L63" i="1"/>
  <c r="K63" i="1"/>
  <c r="J63" i="1"/>
  <c r="I63" i="1"/>
  <c r="S57" i="1"/>
  <c r="O57" i="1"/>
  <c r="K57" i="1"/>
  <c r="T56" i="1"/>
  <c r="T57" i="1" s="1"/>
  <c r="S56" i="1"/>
  <c r="R56" i="1"/>
  <c r="R57" i="1" s="1"/>
  <c r="Q56" i="1"/>
  <c r="Q57" i="1" s="1"/>
  <c r="P56" i="1"/>
  <c r="P57" i="1" s="1"/>
  <c r="O56" i="1"/>
  <c r="N56" i="1"/>
  <c r="N57" i="1" s="1"/>
  <c r="M56" i="1"/>
  <c r="M57" i="1" s="1"/>
  <c r="L56" i="1"/>
  <c r="L57" i="1" s="1"/>
  <c r="K56" i="1"/>
  <c r="J56" i="1"/>
  <c r="J57" i="1" s="1"/>
  <c r="I56" i="1"/>
  <c r="I57" i="1" s="1"/>
  <c r="C53" i="1"/>
  <c r="T51" i="1"/>
  <c r="P51" i="1"/>
  <c r="L51" i="1"/>
  <c r="T50" i="1"/>
  <c r="S50" i="1"/>
  <c r="S51" i="1" s="1"/>
  <c r="R50" i="1"/>
  <c r="R51" i="1" s="1"/>
  <c r="Q50" i="1"/>
  <c r="Q51" i="1" s="1"/>
  <c r="P50" i="1"/>
  <c r="O50" i="1"/>
  <c r="O51" i="1" s="1"/>
  <c r="N50" i="1"/>
  <c r="N51" i="1" s="1"/>
  <c r="M50" i="1"/>
  <c r="M51" i="1" s="1"/>
  <c r="L50" i="1"/>
  <c r="K50" i="1"/>
  <c r="K51" i="1" s="1"/>
  <c r="J50" i="1"/>
  <c r="J51" i="1" s="1"/>
  <c r="I50" i="1"/>
  <c r="I51" i="1" s="1"/>
  <c r="C47" i="1"/>
  <c r="T45" i="1"/>
  <c r="S45" i="1"/>
  <c r="R45" i="1"/>
  <c r="Q45" i="1"/>
  <c r="P45" i="1"/>
  <c r="O45" i="1"/>
  <c r="N45" i="1"/>
  <c r="M45" i="1"/>
  <c r="L45" i="1"/>
  <c r="K45" i="1"/>
  <c r="J45" i="1"/>
  <c r="I45" i="1"/>
  <c r="T44" i="1"/>
  <c r="S44" i="1"/>
  <c r="R44" i="1"/>
  <c r="Q44" i="1"/>
  <c r="P44" i="1"/>
  <c r="O44" i="1"/>
  <c r="N44" i="1"/>
  <c r="M44" i="1"/>
  <c r="L44" i="1"/>
  <c r="K44" i="1"/>
  <c r="J44" i="1"/>
  <c r="I44" i="1"/>
  <c r="V42" i="1"/>
  <c r="G30" i="1"/>
  <c r="B25" i="1"/>
  <c r="B21" i="1"/>
  <c r="B17" i="1"/>
  <c r="AA15" i="1"/>
  <c r="T15" i="1"/>
  <c r="W6" i="1"/>
  <c r="I6" i="1"/>
  <c r="AA211" i="1" l="1"/>
  <c r="AA139" i="1" s="1"/>
  <c r="V139" i="1"/>
  <c r="V148" i="1" s="1"/>
  <c r="AA213" i="1"/>
  <c r="AA141" i="1" s="1"/>
  <c r="V141" i="1"/>
  <c r="V224" i="1"/>
  <c r="Q224" i="1"/>
  <c r="M224" i="1"/>
  <c r="I224" i="1"/>
  <c r="Y224" i="1"/>
  <c r="T224" i="1"/>
  <c r="P224" i="1"/>
  <c r="L224" i="1"/>
  <c r="X224" i="1"/>
  <c r="S224" i="1"/>
  <c r="O224" i="1"/>
  <c r="K224" i="1"/>
  <c r="W224" i="1"/>
  <c r="R224" i="1"/>
  <c r="N224" i="1"/>
  <c r="J224" i="1"/>
  <c r="AA214" i="1"/>
  <c r="AA142" i="1" s="1"/>
  <c r="Y215" i="1"/>
  <c r="Y143" i="1" s="1"/>
  <c r="V142" i="1"/>
  <c r="G210" i="1"/>
  <c r="G219" i="1" s="1"/>
  <c r="V140" i="1"/>
  <c r="AA210" i="1"/>
  <c r="AA138" i="1" s="1"/>
  <c r="Y212" i="1"/>
  <c r="Y140" i="1" s="1"/>
  <c r="G215" i="1"/>
  <c r="G225" i="1" s="1"/>
  <c r="X212" i="1"/>
  <c r="X140" i="1" s="1"/>
  <c r="X117" i="1" s="1"/>
  <c r="C214" i="1"/>
  <c r="C224" i="1" s="1"/>
  <c r="C222" i="1"/>
  <c r="C212" i="1"/>
  <c r="V215" i="1"/>
  <c r="G211" i="1"/>
  <c r="G220" i="1" s="1"/>
  <c r="G213" i="1"/>
  <c r="G222" i="1" s="1"/>
  <c r="G212" i="1"/>
  <c r="G221" i="1" s="1"/>
  <c r="W147" i="1"/>
  <c r="L189" i="1"/>
  <c r="T189" i="1"/>
  <c r="V120" i="1"/>
  <c r="X194" i="1"/>
  <c r="X195" i="1" s="1"/>
  <c r="X120" i="1"/>
  <c r="X188" i="1"/>
  <c r="AA193" i="1"/>
  <c r="AA121" i="1" s="1"/>
  <c r="V121" i="1"/>
  <c r="K194" i="1"/>
  <c r="K195" i="1" s="1"/>
  <c r="K189" i="1"/>
  <c r="O194" i="1"/>
  <c r="O195" i="1" s="1"/>
  <c r="O189" i="1"/>
  <c r="S194" i="1"/>
  <c r="S195" i="1" s="1"/>
  <c r="Y192" i="1"/>
  <c r="S189" i="1"/>
  <c r="Y193" i="1"/>
  <c r="Y121" i="1" s="1"/>
  <c r="R194" i="1"/>
  <c r="R195" i="1" s="1"/>
  <c r="K188" i="1"/>
  <c r="O188" i="1"/>
  <c r="S188" i="1"/>
  <c r="X122" i="1"/>
  <c r="X123" i="1" s="1"/>
  <c r="AA198" i="1"/>
  <c r="V126" i="1"/>
  <c r="V200" i="1"/>
  <c r="V201" i="1" s="1"/>
  <c r="AA192" i="1"/>
  <c r="V189" i="1"/>
  <c r="V199" i="1"/>
  <c r="X116" i="1"/>
  <c r="X198" i="1"/>
  <c r="W199" i="1"/>
  <c r="W127" i="1" s="1"/>
  <c r="P189" i="1"/>
  <c r="W126" i="1"/>
  <c r="W128" i="1" s="1"/>
  <c r="W129" i="1" s="1"/>
  <c r="I189" i="1"/>
  <c r="W192" i="1"/>
  <c r="L194" i="1"/>
  <c r="L195" i="1" s="1"/>
  <c r="T194" i="1"/>
  <c r="T195" i="1" s="1"/>
  <c r="Y198" i="1"/>
  <c r="V152" i="1"/>
  <c r="Q152" i="1"/>
  <c r="M152" i="1"/>
  <c r="I152" i="1"/>
  <c r="Y152" i="1"/>
  <c r="T152" i="1"/>
  <c r="P152" i="1"/>
  <c r="L152" i="1"/>
  <c r="X152" i="1"/>
  <c r="S152" i="1"/>
  <c r="O152" i="1"/>
  <c r="K152" i="1"/>
  <c r="W152" i="1"/>
  <c r="R152" i="1"/>
  <c r="N152" i="1"/>
  <c r="J152" i="1"/>
  <c r="J147" i="1"/>
  <c r="N147" i="1"/>
  <c r="Q148" i="1"/>
  <c r="M148" i="1"/>
  <c r="I148" i="1"/>
  <c r="Y148" i="1"/>
  <c r="T148" i="1"/>
  <c r="P148" i="1"/>
  <c r="L148" i="1"/>
  <c r="X148" i="1"/>
  <c r="S148" i="1"/>
  <c r="O148" i="1"/>
  <c r="K148" i="1"/>
  <c r="V150" i="1"/>
  <c r="Q150" i="1"/>
  <c r="M150" i="1"/>
  <c r="I150" i="1"/>
  <c r="G151" i="1"/>
  <c r="Y150" i="1"/>
  <c r="T150" i="1"/>
  <c r="P150" i="1"/>
  <c r="L150" i="1"/>
  <c r="X150" i="1"/>
  <c r="S150" i="1"/>
  <c r="O150" i="1"/>
  <c r="K150" i="1"/>
  <c r="R147" i="1"/>
  <c r="J148" i="1"/>
  <c r="J150" i="1"/>
  <c r="W153" i="1"/>
  <c r="R153" i="1"/>
  <c r="N153" i="1"/>
  <c r="J153" i="1"/>
  <c r="S153" i="1"/>
  <c r="V153" i="1"/>
  <c r="Q153" i="1"/>
  <c r="M153" i="1"/>
  <c r="I153" i="1"/>
  <c r="Y153" i="1"/>
  <c r="T153" i="1"/>
  <c r="P153" i="1"/>
  <c r="L153" i="1"/>
  <c r="X153" i="1"/>
  <c r="O153" i="1"/>
  <c r="K153" i="1"/>
  <c r="N148" i="1"/>
  <c r="N150" i="1"/>
  <c r="V147" i="1"/>
  <c r="Q147" i="1"/>
  <c r="M147" i="1"/>
  <c r="I147" i="1"/>
  <c r="Y147" i="1"/>
  <c r="T147" i="1"/>
  <c r="P147" i="1"/>
  <c r="L147" i="1"/>
  <c r="X147" i="1"/>
  <c r="S147" i="1"/>
  <c r="O147" i="1"/>
  <c r="K147" i="1"/>
  <c r="C142" i="1"/>
  <c r="C152" i="1" s="1"/>
  <c r="C150" i="1"/>
  <c r="C140" i="1"/>
  <c r="G140" i="1"/>
  <c r="G149" i="1" s="1"/>
  <c r="V76" i="1"/>
  <c r="Q76" i="1"/>
  <c r="M76" i="1"/>
  <c r="I76" i="1"/>
  <c r="Y76" i="1"/>
  <c r="T76" i="1"/>
  <c r="P76" i="1"/>
  <c r="L76" i="1"/>
  <c r="X76" i="1"/>
  <c r="S76" i="1"/>
  <c r="O76" i="1"/>
  <c r="K76" i="1"/>
  <c r="W76" i="1"/>
  <c r="R76" i="1"/>
  <c r="N76" i="1"/>
  <c r="J76" i="1"/>
  <c r="G68" i="1"/>
  <c r="G77" i="1" s="1"/>
  <c r="G66" i="1"/>
  <c r="G75" i="1" s="1"/>
  <c r="G70" i="1"/>
  <c r="G80" i="1" s="1"/>
  <c r="C68" i="1"/>
  <c r="G69" i="1"/>
  <c r="G78" i="1" s="1"/>
  <c r="C78" i="1"/>
  <c r="C79" i="1" s="1"/>
  <c r="G71" i="1"/>
  <c r="G81" i="1" s="1"/>
  <c r="I7" i="1"/>
  <c r="I47" i="1" s="1"/>
  <c r="I42" i="1"/>
  <c r="W42" i="1"/>
  <c r="X6" i="1"/>
  <c r="J6" i="1"/>
  <c r="I5" i="1"/>
  <c r="V220" i="1" l="1"/>
  <c r="Q220" i="1"/>
  <c r="M220" i="1"/>
  <c r="I220" i="1"/>
  <c r="X220" i="1"/>
  <c r="S220" i="1"/>
  <c r="O220" i="1"/>
  <c r="K220" i="1"/>
  <c r="W220" i="1"/>
  <c r="R220" i="1"/>
  <c r="T220" i="1"/>
  <c r="J220" i="1"/>
  <c r="N220" i="1"/>
  <c r="Y220" i="1"/>
  <c r="L220" i="1"/>
  <c r="P220" i="1"/>
  <c r="AA215" i="1"/>
  <c r="AA143" i="1" s="1"/>
  <c r="V143" i="1"/>
  <c r="V116" i="1" s="1"/>
  <c r="V188" i="1"/>
  <c r="V221" i="1"/>
  <c r="Q221" i="1"/>
  <c r="M221" i="1"/>
  <c r="I221" i="1"/>
  <c r="Y221" i="1"/>
  <c r="T221" i="1"/>
  <c r="P221" i="1"/>
  <c r="X221" i="1"/>
  <c r="S221" i="1"/>
  <c r="O221" i="1"/>
  <c r="K221" i="1"/>
  <c r="W221" i="1"/>
  <c r="R221" i="1"/>
  <c r="N221" i="1"/>
  <c r="J221" i="1"/>
  <c r="L221" i="1"/>
  <c r="C221" i="1"/>
  <c r="C211" i="1"/>
  <c r="W225" i="1"/>
  <c r="R225" i="1"/>
  <c r="N225" i="1"/>
  <c r="J225" i="1"/>
  <c r="V225" i="1"/>
  <c r="AA225" i="1" s="1"/>
  <c r="Q225" i="1"/>
  <c r="M225" i="1"/>
  <c r="I225" i="1"/>
  <c r="Y225" i="1"/>
  <c r="T225" i="1"/>
  <c r="P225" i="1"/>
  <c r="L225" i="1"/>
  <c r="X225" i="1"/>
  <c r="S225" i="1"/>
  <c r="O225" i="1"/>
  <c r="K225" i="1"/>
  <c r="AA212" i="1"/>
  <c r="AA140" i="1" s="1"/>
  <c r="AA224" i="1"/>
  <c r="X189" i="1"/>
  <c r="V222" i="1"/>
  <c r="Q222" i="1"/>
  <c r="M222" i="1"/>
  <c r="I222" i="1"/>
  <c r="G223" i="1"/>
  <c r="Y222" i="1"/>
  <c r="T222" i="1"/>
  <c r="P222" i="1"/>
  <c r="L222" i="1"/>
  <c r="X222" i="1"/>
  <c r="S222" i="1"/>
  <c r="O222" i="1"/>
  <c r="K222" i="1"/>
  <c r="W222" i="1"/>
  <c r="R222" i="1"/>
  <c r="N222" i="1"/>
  <c r="J222" i="1"/>
  <c r="V219" i="1"/>
  <c r="Q219" i="1"/>
  <c r="M219" i="1"/>
  <c r="I219" i="1"/>
  <c r="X219" i="1"/>
  <c r="S219" i="1"/>
  <c r="O219" i="1"/>
  <c r="K219" i="1"/>
  <c r="W219" i="1"/>
  <c r="N219" i="1"/>
  <c r="R219" i="1"/>
  <c r="J219" i="1"/>
  <c r="Y219" i="1"/>
  <c r="P219" i="1"/>
  <c r="T219" i="1"/>
  <c r="L219" i="1"/>
  <c r="AA188" i="1"/>
  <c r="AA194" i="1"/>
  <c r="AA195" i="1" s="1"/>
  <c r="AA120" i="1"/>
  <c r="Y126" i="1"/>
  <c r="Y128" i="1" s="1"/>
  <c r="Y129" i="1" s="1"/>
  <c r="Y200" i="1"/>
  <c r="Y201" i="1" s="1"/>
  <c r="X200" i="1"/>
  <c r="X201" i="1" s="1"/>
  <c r="X126" i="1"/>
  <c r="X128" i="1" s="1"/>
  <c r="X129" i="1" s="1"/>
  <c r="AA126" i="1"/>
  <c r="AA128" i="1" s="1"/>
  <c r="AA129" i="1" s="1"/>
  <c r="W120" i="1"/>
  <c r="W188" i="1"/>
  <c r="W194" i="1"/>
  <c r="W195" i="1" s="1"/>
  <c r="W189" i="1"/>
  <c r="AA199" i="1"/>
  <c r="AA127" i="1" s="1"/>
  <c r="V127" i="1"/>
  <c r="V128" i="1" s="1"/>
  <c r="V129" i="1" s="1"/>
  <c r="W200" i="1"/>
  <c r="W201" i="1" s="1"/>
  <c r="Y189" i="1"/>
  <c r="Y194" i="1"/>
  <c r="Y195" i="1" s="1"/>
  <c r="Y120" i="1"/>
  <c r="Y188" i="1"/>
  <c r="V122" i="1"/>
  <c r="V123" i="1" s="1"/>
  <c r="V117" i="1"/>
  <c r="V149" i="1"/>
  <c r="Q149" i="1"/>
  <c r="M149" i="1"/>
  <c r="I149" i="1"/>
  <c r="Y149" i="1"/>
  <c r="T149" i="1"/>
  <c r="P149" i="1"/>
  <c r="L149" i="1"/>
  <c r="X149" i="1"/>
  <c r="S149" i="1"/>
  <c r="O149" i="1"/>
  <c r="K149" i="1"/>
  <c r="J149" i="1"/>
  <c r="W149" i="1"/>
  <c r="R149" i="1"/>
  <c r="N149" i="1"/>
  <c r="C139" i="1"/>
  <c r="C149" i="1"/>
  <c r="V151" i="1"/>
  <c r="Q151" i="1"/>
  <c r="M151" i="1"/>
  <c r="I151" i="1"/>
  <c r="J151" i="1"/>
  <c r="Y151" i="1"/>
  <c r="T151" i="1"/>
  <c r="P151" i="1"/>
  <c r="L151" i="1"/>
  <c r="X151" i="1"/>
  <c r="S151" i="1"/>
  <c r="O151" i="1"/>
  <c r="K151" i="1"/>
  <c r="W151" i="1"/>
  <c r="R151" i="1"/>
  <c r="N151" i="1"/>
  <c r="W81" i="1"/>
  <c r="R81" i="1"/>
  <c r="N81" i="1"/>
  <c r="J81" i="1"/>
  <c r="V81" i="1"/>
  <c r="AA81" i="1" s="1"/>
  <c r="AB81" i="1" s="1"/>
  <c r="Q81" i="1"/>
  <c r="M81" i="1"/>
  <c r="I81" i="1"/>
  <c r="Y81" i="1"/>
  <c r="T81" i="1"/>
  <c r="P81" i="1"/>
  <c r="L81" i="1"/>
  <c r="X81" i="1"/>
  <c r="S81" i="1"/>
  <c r="O81" i="1"/>
  <c r="K81" i="1"/>
  <c r="V80" i="1"/>
  <c r="Q80" i="1"/>
  <c r="M80" i="1"/>
  <c r="I80" i="1"/>
  <c r="Y80" i="1"/>
  <c r="T80" i="1"/>
  <c r="P80" i="1"/>
  <c r="L80" i="1"/>
  <c r="X80" i="1"/>
  <c r="S80" i="1"/>
  <c r="O80" i="1"/>
  <c r="K80" i="1"/>
  <c r="W80" i="1"/>
  <c r="R80" i="1"/>
  <c r="N80" i="1"/>
  <c r="J80" i="1"/>
  <c r="V75" i="1"/>
  <c r="Q75" i="1"/>
  <c r="M75" i="1"/>
  <c r="I75" i="1"/>
  <c r="Y75" i="1"/>
  <c r="T75" i="1"/>
  <c r="P75" i="1"/>
  <c r="L75" i="1"/>
  <c r="X75" i="1"/>
  <c r="S75" i="1"/>
  <c r="O75" i="1"/>
  <c r="K75" i="1"/>
  <c r="W75" i="1"/>
  <c r="R75" i="1"/>
  <c r="N75" i="1"/>
  <c r="J75" i="1"/>
  <c r="V78" i="1"/>
  <c r="Q78" i="1"/>
  <c r="M78" i="1"/>
  <c r="I78" i="1"/>
  <c r="G79" i="1"/>
  <c r="Y78" i="1"/>
  <c r="T78" i="1"/>
  <c r="P78" i="1"/>
  <c r="L78" i="1"/>
  <c r="X78" i="1"/>
  <c r="S78" i="1"/>
  <c r="O78" i="1"/>
  <c r="K78" i="1"/>
  <c r="W78" i="1"/>
  <c r="R78" i="1"/>
  <c r="N78" i="1"/>
  <c r="J78" i="1"/>
  <c r="V77" i="1"/>
  <c r="Q77" i="1"/>
  <c r="M77" i="1"/>
  <c r="I77" i="1"/>
  <c r="Y77" i="1"/>
  <c r="T77" i="1"/>
  <c r="P77" i="1"/>
  <c r="L77" i="1"/>
  <c r="X77" i="1"/>
  <c r="S77" i="1"/>
  <c r="O77" i="1"/>
  <c r="K77" i="1"/>
  <c r="W77" i="1"/>
  <c r="R77" i="1"/>
  <c r="N77" i="1"/>
  <c r="J77" i="1"/>
  <c r="AA76" i="1"/>
  <c r="AB76" i="1" s="1"/>
  <c r="C67" i="1"/>
  <c r="C77" i="1"/>
  <c r="J42" i="1"/>
  <c r="K6" i="1"/>
  <c r="J5" i="1"/>
  <c r="J7" i="1"/>
  <c r="J47" i="1" s="1"/>
  <c r="Y6" i="1"/>
  <c r="X42" i="1"/>
  <c r="AA221" i="1" l="1"/>
  <c r="AA189" i="1"/>
  <c r="AB224" i="1"/>
  <c r="AA152" i="1"/>
  <c r="AB152" i="1" s="1"/>
  <c r="AA219" i="1"/>
  <c r="AB225" i="1"/>
  <c r="AA153" i="1"/>
  <c r="AB153" i="1" s="1"/>
  <c r="V223" i="1"/>
  <c r="Q223" i="1"/>
  <c r="M223" i="1"/>
  <c r="I223" i="1"/>
  <c r="Y223" i="1"/>
  <c r="T223" i="1"/>
  <c r="P223" i="1"/>
  <c r="L223" i="1"/>
  <c r="X223" i="1"/>
  <c r="S223" i="1"/>
  <c r="O223" i="1"/>
  <c r="K223" i="1"/>
  <c r="W223" i="1"/>
  <c r="R223" i="1"/>
  <c r="N223" i="1"/>
  <c r="J223" i="1"/>
  <c r="AA222" i="1"/>
  <c r="C210" i="1"/>
  <c r="C219" i="1" s="1"/>
  <c r="C220" i="1"/>
  <c r="AA220" i="1"/>
  <c r="Y117" i="1"/>
  <c r="Y116" i="1"/>
  <c r="Y122" i="1"/>
  <c r="Y123" i="1" s="1"/>
  <c r="W122" i="1"/>
  <c r="W123" i="1" s="1"/>
  <c r="W116" i="1"/>
  <c r="W117" i="1"/>
  <c r="AA122" i="1"/>
  <c r="AA123" i="1" s="1"/>
  <c r="AA116" i="1"/>
  <c r="AA117" i="1"/>
  <c r="AA200" i="1"/>
  <c r="AA201" i="1" s="1"/>
  <c r="C138" i="1"/>
  <c r="C147" i="1" s="1"/>
  <c r="C148" i="1"/>
  <c r="C66" i="1"/>
  <c r="C75" i="1" s="1"/>
  <c r="C76" i="1"/>
  <c r="AA77" i="1"/>
  <c r="AB77" i="1" s="1"/>
  <c r="V79" i="1"/>
  <c r="Q79" i="1"/>
  <c r="M79" i="1"/>
  <c r="I79" i="1"/>
  <c r="Y79" i="1"/>
  <c r="T79" i="1"/>
  <c r="P79" i="1"/>
  <c r="L79" i="1"/>
  <c r="X79" i="1"/>
  <c r="S79" i="1"/>
  <c r="O79" i="1"/>
  <c r="K79" i="1"/>
  <c r="W79" i="1"/>
  <c r="R79" i="1"/>
  <c r="N79" i="1"/>
  <c r="J79" i="1"/>
  <c r="AA78" i="1"/>
  <c r="AB78" i="1" s="1"/>
  <c r="AA75" i="1"/>
  <c r="AB75" i="1" s="1"/>
  <c r="AA80" i="1"/>
  <c r="AB80" i="1" s="1"/>
  <c r="Y42" i="1"/>
  <c r="L6" i="1"/>
  <c r="K5" i="1"/>
  <c r="K7" i="1"/>
  <c r="K47" i="1" s="1"/>
  <c r="K42" i="1"/>
  <c r="AA150" i="1" l="1"/>
  <c r="AB150" i="1" s="1"/>
  <c r="AB222" i="1"/>
  <c r="AA223" i="1"/>
  <c r="AA148" i="1"/>
  <c r="AB148" i="1" s="1"/>
  <c r="AB220" i="1"/>
  <c r="AA147" i="1"/>
  <c r="AB147" i="1" s="1"/>
  <c r="AB219" i="1"/>
  <c r="AA149" i="1"/>
  <c r="AB149" i="1" s="1"/>
  <c r="AB221" i="1"/>
  <c r="AA79" i="1"/>
  <c r="AB79" i="1" s="1"/>
  <c r="L5" i="1"/>
  <c r="L7" i="1"/>
  <c r="L47" i="1" s="1"/>
  <c r="L42" i="1"/>
  <c r="M6" i="1"/>
  <c r="AB223" i="1" l="1"/>
  <c r="AA151" i="1"/>
  <c r="AB151" i="1" s="1"/>
  <c r="M42" i="1"/>
  <c r="M7" i="1"/>
  <c r="M47" i="1" s="1"/>
  <c r="N6" i="1"/>
  <c r="M5" i="1"/>
  <c r="N42" i="1" l="1"/>
  <c r="O6" i="1"/>
  <c r="N7" i="1"/>
  <c r="N47" i="1" s="1"/>
  <c r="N5" i="1"/>
  <c r="P6" i="1" l="1"/>
  <c r="O5" i="1"/>
  <c r="O7" i="1"/>
  <c r="O47" i="1" s="1"/>
  <c r="O42" i="1"/>
  <c r="P5" i="1" l="1"/>
  <c r="P7" i="1"/>
  <c r="P47" i="1" s="1"/>
  <c r="P42" i="1"/>
  <c r="Q6" i="1"/>
  <c r="Q7" i="1" l="1"/>
  <c r="Q47" i="1" s="1"/>
  <c r="Q42" i="1"/>
  <c r="R6" i="1"/>
  <c r="Q5" i="1"/>
  <c r="R42" i="1" l="1"/>
  <c r="S6" i="1"/>
  <c r="R7" i="1"/>
  <c r="R47" i="1" s="1"/>
  <c r="R5" i="1"/>
  <c r="T6" i="1" l="1"/>
  <c r="S5" i="1"/>
  <c r="S7" i="1"/>
  <c r="S47" i="1" s="1"/>
  <c r="S42" i="1"/>
  <c r="T5" i="1" l="1"/>
  <c r="T7" i="1"/>
  <c r="T47" i="1" s="1"/>
  <c r="T42" i="1"/>
  <c r="W54" i="1" l="1"/>
  <c r="V7" i="1"/>
  <c r="W49" i="1"/>
  <c r="Y48" i="1"/>
  <c r="W55" i="1"/>
  <c r="W48" i="1"/>
  <c r="W7" i="1"/>
  <c r="W47" i="1" s="1"/>
  <c r="V55" i="1"/>
  <c r="Y54" i="1"/>
  <c r="Y56" i="1" s="1"/>
  <c r="Y57" i="1" s="1"/>
  <c r="V48" i="1"/>
  <c r="Y55" i="1"/>
  <c r="X7" i="1"/>
  <c r="X47" i="1" s="1"/>
  <c r="Y7" i="1"/>
  <c r="Y47" i="1" s="1"/>
  <c r="X55" i="1"/>
  <c r="Y49" i="1"/>
  <c r="X54" i="1"/>
  <c r="X49" i="1"/>
  <c r="V49" i="1"/>
  <c r="AA49" i="1" s="1"/>
  <c r="X48" i="1"/>
  <c r="V54" i="1"/>
  <c r="AA48" i="1" l="1"/>
  <c r="V44" i="1"/>
  <c r="V45" i="1"/>
  <c r="V50" i="1"/>
  <c r="V51" i="1" s="1"/>
  <c r="AA7" i="1"/>
  <c r="AA47" i="1" s="1"/>
  <c r="V47" i="1"/>
  <c r="AA54" i="1"/>
  <c r="V56" i="1"/>
  <c r="V57" i="1" s="1"/>
  <c r="X56" i="1"/>
  <c r="X57" i="1" s="1"/>
  <c r="AA55" i="1"/>
  <c r="Y45" i="1"/>
  <c r="Y50" i="1"/>
  <c r="Y51" i="1" s="1"/>
  <c r="Y44" i="1"/>
  <c r="X50" i="1"/>
  <c r="X51" i="1" s="1"/>
  <c r="X45" i="1"/>
  <c r="X44" i="1"/>
  <c r="W44" i="1"/>
  <c r="W50" i="1"/>
  <c r="W51" i="1" s="1"/>
  <c r="W45" i="1"/>
  <c r="W56" i="1"/>
  <c r="W57" i="1" s="1"/>
  <c r="AA56" i="1" l="1"/>
  <c r="AA57" i="1" s="1"/>
  <c r="AA44" i="1"/>
  <c r="AA45" i="1"/>
  <c r="AA50" i="1"/>
  <c r="AA51" i="1" s="1"/>
</calcChain>
</file>

<file path=xl/sharedStrings.xml><?xml version="1.0" encoding="utf-8"?>
<sst xmlns="http://schemas.openxmlformats.org/spreadsheetml/2006/main" count="116" uniqueCount="31">
  <si>
    <t>Timing &amp; Labels</t>
  </si>
  <si>
    <t>Latest Actuals</t>
  </si>
  <si>
    <t>Forecast Year</t>
  </si>
  <si>
    <t>Year</t>
  </si>
  <si>
    <t>Graph Toggle</t>
  </si>
  <si>
    <t>YEARS</t>
  </si>
  <si>
    <t>Forecast</t>
  </si>
  <si>
    <t>Actual</t>
  </si>
  <si>
    <t>Volume Schedule</t>
  </si>
  <si>
    <t>All figures in USD unless indicated.</t>
  </si>
  <si>
    <t>BY MONTH</t>
  </si>
  <si>
    <t>BY QUARTER</t>
  </si>
  <si>
    <t>XXXXX</t>
  </si>
  <si>
    <t>BY YEAR</t>
  </si>
  <si>
    <t>LEGEND</t>
  </si>
  <si>
    <t>Versus Budget</t>
  </si>
  <si>
    <t>YoY Increase</t>
  </si>
  <si>
    <t>Current</t>
  </si>
  <si>
    <t>(Units)</t>
  </si>
  <si>
    <t>Previous</t>
  </si>
  <si>
    <t>Variance</t>
  </si>
  <si>
    <t>Percent</t>
  </si>
  <si>
    <t>Volume Graphing Data</t>
  </si>
  <si>
    <t>Labels</t>
  </si>
  <si>
    <t>BUDGET</t>
  </si>
  <si>
    <t>Budget</t>
  </si>
  <si>
    <t>Pricing Schedule</t>
  </si>
  <si>
    <t>Pricing Graphing Data</t>
  </si>
  <si>
    <t>Revenue Schedule</t>
  </si>
  <si>
    <t>All figures in USD thousands unless indicated.</t>
  </si>
  <si>
    <t>Revenue Graphing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</si>
</sst>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-* #,##0_-;\(#,##0\)_-;_-* &quot;-&quot;_-;_-@_-"/>
    <numFmt numFmtId="165" formatCode="0&quot;A&quot;"/>
    <numFmt numFmtId="166" formatCode="mmm_)"/>
    <numFmt numFmtId="167" formatCode="_(#,##0_)_%;\(#,##0\)_%;_(&quot;–&quot;_)_%;_(@_)_%"/>
    <numFmt numFmtId="168" formatCode=";;;"/>
    <numFmt numFmtId="169" formatCode="\Q0_)"/>
    <numFmt numFmtId="170" formatCode="0_)"/>
    <numFmt numFmtId="171" formatCode="_(#,##0_);\(#,##0\);_(&quot;–&quot;_);_(@_)"/>
    <numFmt numFmtId="172" formatCode="[=1]&quot;☑️&quot;_);[=0]&quot;&quot;_)"/>
    <numFmt numFmtId="173" formatCode="mmmm"/>
    <numFmt numFmtId="174" formatCode="_(#,##0.0%_);\(#,##0.0%\);_(&quot;–&quot;_);_(@_)"/>
    <numFmt numFmtId="175" formatCode="_(#,##0%_);\(#,##0%\);_(&quot;–&quot;_);_(@_)"/>
    <numFmt numFmtId="176" formatCode="mmmm\ yyyy&quot; YTD&quot;"/>
    <numFmt numFmtId="177" formatCode="[=1]&quot;☑️&quot;_);[=0]&quot;-&quot;_)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Open Sans"/>
      <family val="2"/>
    </font>
    <font>
      <sz val="10"/>
      <name val="Bookman"/>
      <family val="1"/>
    </font>
    <font>
      <sz val="11"/>
      <color rgb="FF000000"/>
      <name val="Open Sans"/>
      <family val="2"/>
    </font>
    <font>
      <b/>
      <sz val="14"/>
      <color rgb="FF3271D2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b/>
      <sz val="10"/>
      <color theme="0"/>
      <name val="Open Sans"/>
      <family val="2"/>
    </font>
    <font>
      <sz val="10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10"/>
      <color rgb="FF3271D2"/>
      <name val="Open Sans"/>
      <family val="2"/>
    </font>
    <font>
      <i/>
      <sz val="9"/>
      <name val="Open Sans"/>
      <family val="2"/>
    </font>
    <font>
      <b/>
      <sz val="10"/>
      <name val="Open Sans"/>
      <family val="2"/>
    </font>
    <font>
      <b/>
      <sz val="10"/>
      <color rgb="FF000000"/>
      <name val="Open Sans"/>
      <family val="2"/>
    </font>
    <font>
      <sz val="8"/>
      <color rgb="FF3271D2"/>
      <name val="Open Sans"/>
      <family val="2"/>
    </font>
    <font>
      <i/>
      <sz val="10"/>
      <color rgb="FF000000"/>
      <name val="Open Sans"/>
      <family val="2"/>
    </font>
    <font>
      <sz val="11"/>
      <color rgb="FFFA621C"/>
      <name val="Open Sans"/>
      <family val="2"/>
    </font>
    <font>
      <sz val="14"/>
      <color rgb="FF3271D2"/>
      <name val="Open Sans"/>
      <family val="2"/>
    </font>
    <font>
      <b/>
      <sz val="10"/>
      <color rgb="FFFA621C"/>
      <name val="Open Sans"/>
      <family val="2"/>
    </font>
    <font>
      <i/>
      <sz val="10"/>
      <name val="Open Sans"/>
      <family val="2"/>
    </font>
    <font>
      <b/>
      <sz val="10"/>
      <color rgb="FFFFFFFF"/>
      <name val="Open Sans"/>
      <family val="2"/>
    </font>
    <font>
      <sz val="8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D9E5F7"/>
        <bgColor rgb="FFFFFFFF"/>
      </patternFill>
    </fill>
    <fill>
      <patternFill patternType="solid">
        <fgColor rgb="FFD9E5F7"/>
        <bgColor rgb="FF000000"/>
      </patternFill>
    </fill>
    <fill>
      <patternFill patternType="solid">
        <fgColor rgb="FFF2F2F2"/>
        <bgColor rgb="FF000000"/>
      </patternFill>
    </fill>
  </fills>
  <borders count="43">
    <border>
      <left/>
      <right/>
      <top/>
      <bottom/>
      <diagonal/>
    </border>
    <border>
      <left style="thin">
        <color rgb="FF3271D2"/>
      </left>
      <right/>
      <top style="thin">
        <color rgb="FF3271D2"/>
      </top>
      <bottom/>
      <diagonal/>
    </border>
    <border>
      <left/>
      <right/>
      <top style="thin">
        <color rgb="FF3271D2"/>
      </top>
      <bottom/>
      <diagonal/>
    </border>
    <border>
      <left/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hair">
        <color rgb="FF3271D2"/>
      </left>
      <right/>
      <top style="thin">
        <color rgb="FF3271D2"/>
      </top>
      <bottom/>
      <diagonal/>
    </border>
    <border>
      <left/>
      <right style="thin">
        <color rgb="FF3271D2"/>
      </right>
      <top/>
      <bottom style="medium">
        <color rgb="FF3271D2"/>
      </bottom>
      <diagonal/>
    </border>
    <border>
      <left style="hair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/>
      <right/>
      <top style="medium">
        <color rgb="FF3271D2"/>
      </top>
      <bottom/>
      <diagonal/>
    </border>
    <border>
      <left style="thin">
        <color rgb="FF3271D2"/>
      </left>
      <right/>
      <top style="thin">
        <color rgb="FF3271D2"/>
      </top>
      <bottom style="medium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 style="thin">
        <color rgb="FF3271D2"/>
      </right>
      <top style="thin">
        <color rgb="FF3271D2"/>
      </top>
      <bottom style="medium">
        <color rgb="FF3271D2"/>
      </bottom>
      <diagonal/>
    </border>
    <border>
      <left style="hair">
        <color rgb="FF3271D2"/>
      </left>
      <right/>
      <top style="hair">
        <color rgb="FF3271D2"/>
      </top>
      <bottom/>
      <diagonal/>
    </border>
    <border>
      <left/>
      <right/>
      <top style="hair">
        <color rgb="FF3271D2"/>
      </top>
      <bottom/>
      <diagonal/>
    </border>
    <border>
      <left style="hair">
        <color rgb="FF3271D2"/>
      </left>
      <right/>
      <top/>
      <bottom style="hair">
        <color rgb="FF3271D2"/>
      </bottom>
      <diagonal/>
    </border>
    <border>
      <left/>
      <right/>
      <top/>
      <bottom style="hair">
        <color rgb="FF3271D2"/>
      </bottom>
      <diagonal/>
    </border>
    <border>
      <left/>
      <right/>
      <top/>
      <bottom style="hair">
        <color rgb="FF000000"/>
      </bottom>
      <diagonal/>
    </border>
    <border>
      <left style="thin">
        <color rgb="FF3271D2"/>
      </left>
      <right style="thin">
        <color rgb="FF3271D2"/>
      </right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/>
      <right/>
      <top/>
      <bottom style="thin">
        <color rgb="FF3271D2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3271D2"/>
      </left>
      <right/>
      <top style="hair">
        <color rgb="FF000000"/>
      </top>
      <bottom style="hair">
        <color rgb="FF000000"/>
      </bottom>
      <diagonal/>
    </border>
    <border>
      <left style="hair">
        <color rgb="FF3271D2"/>
      </left>
      <right/>
      <top style="hair">
        <color rgb="FF000000"/>
      </top>
      <bottom style="hair">
        <color rgb="FF000000"/>
      </bottom>
      <diagonal/>
    </border>
    <border>
      <left style="thin">
        <color rgb="FF3271D2"/>
      </left>
      <right style="thin">
        <color rgb="FF3271D2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3271D2"/>
      </left>
      <right/>
      <top/>
      <bottom style="thin">
        <color rgb="FF3271D2"/>
      </bottom>
      <diagonal/>
    </border>
    <border>
      <left style="hair">
        <color rgb="FF3271D2"/>
      </left>
      <right/>
      <top/>
      <bottom style="thin">
        <color rgb="FF3271D2"/>
      </bottom>
      <diagonal/>
    </border>
    <border>
      <left style="thin">
        <color rgb="FF3271D2"/>
      </left>
      <right style="thin">
        <color rgb="FF3271D2"/>
      </right>
      <top/>
      <bottom style="thin">
        <color rgb="FF3271D2"/>
      </bottom>
      <diagonal/>
    </border>
    <border>
      <left style="thin">
        <color rgb="FF3271D2"/>
      </left>
      <right style="thin">
        <color rgb="FF3271D2"/>
      </right>
      <top style="hair">
        <color rgb="FF3271D2"/>
      </top>
      <bottom/>
      <diagonal/>
    </border>
    <border>
      <left/>
      <right style="thin">
        <color rgb="FF3271D2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Font="0" applyFill="0" applyBorder="0" applyAlignment="0" applyProtection="0"/>
    <xf numFmtId="0" fontId="10" fillId="0" borderId="0"/>
  </cellStyleXfs>
  <cellXfs count="238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164" fontId="4" fillId="0" borderId="0" xfId="2" applyNumberFormat="1" applyFont="1" applyFill="1" applyBorder="1" applyAlignment="1" applyProtection="1">
      <alignment vertical="center"/>
      <protection locked="0"/>
    </xf>
    <xf numFmtId="0" fontId="5" fillId="2" borderId="0" xfId="1" applyFont="1" applyFill="1" applyAlignment="1">
      <alignment vertical="center"/>
    </xf>
    <xf numFmtId="37" fontId="6" fillId="3" borderId="0" xfId="1" applyNumberFormat="1" applyFont="1" applyFill="1" applyAlignment="1">
      <alignment vertical="center"/>
    </xf>
    <xf numFmtId="164" fontId="7" fillId="0" borderId="0" xfId="2" applyNumberFormat="1" applyFont="1" applyFill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165" fontId="8" fillId="0" borderId="0" xfId="1" applyNumberFormat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9" fillId="0" borderId="0" xfId="1" applyFont="1"/>
    <xf numFmtId="164" fontId="7" fillId="0" borderId="0" xfId="2" applyNumberFormat="1" applyFont="1" applyFill="1" applyBorder="1" applyAlignment="1" applyProtection="1">
      <alignment vertical="center"/>
      <protection locked="0"/>
    </xf>
    <xf numFmtId="0" fontId="11" fillId="0" borderId="1" xfId="1" applyFont="1" applyBorder="1" applyAlignment="1">
      <alignment horizontal="left" vertical="center"/>
    </xf>
    <xf numFmtId="0" fontId="11" fillId="0" borderId="2" xfId="1" applyFont="1" applyBorder="1" applyAlignment="1">
      <alignment horizontal="left" vertical="center"/>
    </xf>
    <xf numFmtId="166" fontId="12" fillId="4" borderId="3" xfId="1" applyNumberFormat="1" applyFont="1" applyFill="1" applyBorder="1" applyAlignment="1">
      <alignment horizontal="right" vertical="center"/>
    </xf>
    <xf numFmtId="0" fontId="7" fillId="0" borderId="4" xfId="1" applyFont="1" applyBorder="1" applyAlignment="1">
      <alignment vertical="center"/>
    </xf>
    <xf numFmtId="167" fontId="13" fillId="0" borderId="0" xfId="1" applyNumberFormat="1" applyFont="1" applyAlignment="1">
      <alignment vertical="center"/>
    </xf>
    <xf numFmtId="168" fontId="8" fillId="0" borderId="1" xfId="1" applyNumberFormat="1" applyFont="1" applyBorder="1" applyAlignment="1">
      <alignment horizontal="right" vertical="center"/>
    </xf>
    <xf numFmtId="168" fontId="8" fillId="0" borderId="2" xfId="1" applyNumberFormat="1" applyFont="1" applyBorder="1" applyAlignment="1">
      <alignment horizontal="right" vertical="center"/>
    </xf>
    <xf numFmtId="169" fontId="14" fillId="0" borderId="2" xfId="1" applyNumberFormat="1" applyFont="1" applyBorder="1" applyAlignment="1">
      <alignment horizontal="right" vertical="center"/>
    </xf>
    <xf numFmtId="168" fontId="8" fillId="0" borderId="5" xfId="1" applyNumberFormat="1" applyFont="1" applyBorder="1" applyAlignment="1">
      <alignment horizontal="right" vertical="center"/>
    </xf>
    <xf numFmtId="169" fontId="15" fillId="0" borderId="2" xfId="1" applyNumberFormat="1" applyFont="1" applyBorder="1" applyAlignment="1">
      <alignment horizontal="right" vertical="center"/>
    </xf>
    <xf numFmtId="168" fontId="15" fillId="0" borderId="5" xfId="1" applyNumberFormat="1" applyFont="1" applyBorder="1" applyAlignment="1">
      <alignment horizontal="right" vertical="center"/>
    </xf>
    <xf numFmtId="168" fontId="15" fillId="0" borderId="2" xfId="1" applyNumberFormat="1" applyFon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11" fillId="0" borderId="4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170" fontId="12" fillId="0" borderId="6" xfId="1" applyNumberFormat="1" applyFont="1" applyBorder="1" applyAlignment="1">
      <alignment horizontal="right" vertical="center"/>
    </xf>
    <xf numFmtId="0" fontId="13" fillId="0" borderId="4" xfId="1" applyFont="1" applyBorder="1" applyAlignment="1">
      <alignment horizontal="center" vertical="center"/>
    </xf>
    <xf numFmtId="166" fontId="15" fillId="4" borderId="4" xfId="1" applyNumberFormat="1" applyFont="1" applyFill="1" applyBorder="1" applyAlignment="1">
      <alignment vertical="center"/>
    </xf>
    <xf numFmtId="166" fontId="15" fillId="4" borderId="0" xfId="1" applyNumberFormat="1" applyFont="1" applyFill="1" applyAlignment="1">
      <alignment vertical="center"/>
    </xf>
    <xf numFmtId="166" fontId="15" fillId="4" borderId="7" xfId="1" applyNumberFormat="1" applyFont="1" applyFill="1" applyBorder="1" applyAlignment="1">
      <alignment vertical="center"/>
    </xf>
    <xf numFmtId="0" fontId="9" fillId="0" borderId="4" xfId="1" applyFont="1" applyBorder="1" applyAlignment="1">
      <alignment vertical="center"/>
    </xf>
    <xf numFmtId="169" fontId="14" fillId="0" borderId="1" xfId="1" applyNumberFormat="1" applyFont="1" applyBorder="1" applyAlignment="1">
      <alignment horizontal="right" vertical="center"/>
    </xf>
    <xf numFmtId="0" fontId="2" fillId="0" borderId="4" xfId="1" applyFont="1" applyBorder="1"/>
    <xf numFmtId="171" fontId="14" fillId="0" borderId="8" xfId="1" applyNumberFormat="1" applyFont="1" applyBorder="1" applyAlignment="1">
      <alignment horizontal="right" vertical="center"/>
    </xf>
    <xf numFmtId="0" fontId="11" fillId="0" borderId="0" xfId="1" applyFont="1"/>
    <xf numFmtId="0" fontId="11" fillId="0" borderId="9" xfId="1" applyFont="1" applyBorder="1"/>
    <xf numFmtId="0" fontId="9" fillId="0" borderId="9" xfId="1" applyFont="1" applyBorder="1" applyAlignment="1">
      <alignment vertical="center"/>
    </xf>
    <xf numFmtId="172" fontId="16" fillId="4" borderId="9" xfId="1" applyNumberFormat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0" xfId="1" applyFont="1" applyAlignment="1">
      <alignment horizontal="left" indent="1"/>
    </xf>
    <xf numFmtId="171" fontId="17" fillId="0" borderId="0" xfId="1" applyNumberFormat="1" applyFont="1" applyAlignment="1">
      <alignment horizontal="right"/>
    </xf>
    <xf numFmtId="0" fontId="11" fillId="0" borderId="10" xfId="1" applyFont="1" applyBorder="1" applyAlignment="1">
      <alignment horizontal="left" vertical="center"/>
    </xf>
    <xf numFmtId="0" fontId="11" fillId="0" borderId="11" xfId="1" applyFont="1" applyBorder="1" applyAlignment="1">
      <alignment horizontal="left" indent="1"/>
    </xf>
    <xf numFmtId="171" fontId="12" fillId="4" borderId="12" xfId="1" applyNumberFormat="1" applyFont="1" applyFill="1" applyBorder="1" applyAlignment="1">
      <alignment horizontal="right" vertical="center"/>
    </xf>
    <xf numFmtId="0" fontId="11" fillId="0" borderId="0" xfId="1" applyFont="1" applyAlignment="1">
      <alignment horizontal="left"/>
    </xf>
    <xf numFmtId="171" fontId="11" fillId="4" borderId="13" xfId="1" applyNumberFormat="1" applyFont="1" applyFill="1" applyBorder="1" applyAlignment="1">
      <alignment horizontal="right"/>
    </xf>
    <xf numFmtId="171" fontId="11" fillId="4" borderId="14" xfId="1" applyNumberFormat="1" applyFont="1" applyFill="1" applyBorder="1" applyAlignment="1">
      <alignment horizontal="right"/>
    </xf>
    <xf numFmtId="0" fontId="9" fillId="0" borderId="7" xfId="1" applyFont="1" applyBorder="1"/>
    <xf numFmtId="0" fontId="9" fillId="4" borderId="13" xfId="1" applyFont="1" applyFill="1" applyBorder="1"/>
    <xf numFmtId="171" fontId="17" fillId="4" borderId="14" xfId="1" applyNumberFormat="1" applyFont="1" applyFill="1" applyBorder="1" applyAlignment="1">
      <alignment horizontal="right"/>
    </xf>
    <xf numFmtId="171" fontId="17" fillId="0" borderId="7" xfId="1" applyNumberFormat="1" applyFont="1" applyBorder="1" applyAlignment="1">
      <alignment horizontal="right"/>
    </xf>
    <xf numFmtId="171" fontId="17" fillId="4" borderId="13" xfId="1" applyNumberFormat="1" applyFont="1" applyFill="1" applyBorder="1" applyAlignment="1">
      <alignment horizontal="right"/>
    </xf>
    <xf numFmtId="0" fontId="11" fillId="0" borderId="0" xfId="1" applyFont="1" applyAlignment="1">
      <alignment horizontal="left" indent="1"/>
    </xf>
    <xf numFmtId="171" fontId="11" fillId="4" borderId="15" xfId="1" applyNumberFormat="1" applyFont="1" applyFill="1" applyBorder="1" applyAlignment="1">
      <alignment horizontal="right"/>
    </xf>
    <xf numFmtId="171" fontId="11" fillId="4" borderId="16" xfId="1" applyNumberFormat="1" applyFont="1" applyFill="1" applyBorder="1" applyAlignment="1">
      <alignment horizontal="right"/>
    </xf>
    <xf numFmtId="0" fontId="9" fillId="4" borderId="15" xfId="1" applyFont="1" applyFill="1" applyBorder="1"/>
    <xf numFmtId="171" fontId="17" fillId="4" borderId="16" xfId="1" applyNumberFormat="1" applyFont="1" applyFill="1" applyBorder="1" applyAlignment="1">
      <alignment horizontal="right"/>
    </xf>
    <xf numFmtId="171" fontId="17" fillId="4" borderId="15" xfId="1" applyNumberFormat="1" applyFont="1" applyFill="1" applyBorder="1" applyAlignment="1">
      <alignment horizontal="right"/>
    </xf>
    <xf numFmtId="0" fontId="9" fillId="0" borderId="17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18" fillId="0" borderId="17" xfId="1" applyFont="1" applyBorder="1" applyAlignment="1">
      <alignment vertical="center"/>
    </xf>
    <xf numFmtId="0" fontId="5" fillId="2" borderId="0" xfId="1" applyFont="1" applyFill="1" applyAlignment="1">
      <alignment horizontal="left" vertical="center"/>
    </xf>
    <xf numFmtId="173" fontId="19" fillId="2" borderId="0" xfId="1" applyNumberFormat="1" applyFont="1" applyFill="1" applyAlignment="1">
      <alignment horizontal="right" vertical="center"/>
    </xf>
    <xf numFmtId="37" fontId="6" fillId="3" borderId="0" xfId="1" applyNumberFormat="1" applyFont="1" applyFill="1" applyAlignment="1">
      <alignment horizontal="right" vertical="center"/>
    </xf>
    <xf numFmtId="173" fontId="19" fillId="2" borderId="0" xfId="1" applyNumberFormat="1" applyFont="1" applyFill="1" applyAlignment="1">
      <alignment horizontal="left" vertical="center"/>
    </xf>
    <xf numFmtId="37" fontId="6" fillId="0" borderId="0" xfId="1" applyNumberFormat="1" applyFont="1" applyAlignment="1">
      <alignment vertical="center"/>
    </xf>
    <xf numFmtId="0" fontId="17" fillId="4" borderId="0" xfId="1" applyFont="1" applyFill="1" applyAlignment="1">
      <alignment horizontal="left" vertical="center" indent="1"/>
    </xf>
    <xf numFmtId="0" fontId="9" fillId="4" borderId="0" xfId="1" applyFont="1" applyFill="1"/>
    <xf numFmtId="0" fontId="14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171" fontId="11" fillId="4" borderId="0" xfId="1" applyNumberFormat="1" applyFont="1" applyFill="1" applyAlignment="1">
      <alignment horizontal="right" vertical="center"/>
    </xf>
    <xf numFmtId="0" fontId="14" fillId="0" borderId="0" xfId="1" applyFont="1" applyAlignment="1">
      <alignment vertical="center"/>
    </xf>
    <xf numFmtId="173" fontId="15" fillId="4" borderId="0" xfId="1" applyNumberFormat="1" applyFont="1" applyFill="1" applyAlignment="1">
      <alignment horizontal="left" vertical="center" indent="1"/>
    </xf>
    <xf numFmtId="0" fontId="9" fillId="4" borderId="0" xfId="1" applyFont="1" applyFill="1" applyAlignment="1">
      <alignment vertical="center"/>
    </xf>
    <xf numFmtId="0" fontId="15" fillId="4" borderId="0" xfId="1" applyFont="1" applyFill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 indent="1"/>
    </xf>
    <xf numFmtId="171" fontId="11" fillId="0" borderId="0" xfId="1" applyNumberFormat="1" applyFont="1" applyAlignment="1">
      <alignment horizontal="right" vertical="center"/>
    </xf>
    <xf numFmtId="0" fontId="11" fillId="4" borderId="0" xfId="1" applyFont="1" applyFill="1" applyAlignment="1">
      <alignment horizontal="left" vertical="center" indent="2"/>
    </xf>
    <xf numFmtId="171" fontId="12" fillId="0" borderId="0" xfId="1" applyNumberFormat="1" applyFont="1" applyAlignment="1">
      <alignment horizontal="right" vertical="center"/>
    </xf>
    <xf numFmtId="0" fontId="15" fillId="4" borderId="0" xfId="1" applyFont="1" applyFill="1" applyAlignment="1">
      <alignment horizontal="left" vertical="center" indent="1"/>
    </xf>
    <xf numFmtId="0" fontId="11" fillId="0" borderId="0" xfId="1" applyFont="1" applyAlignment="1">
      <alignment horizontal="left" vertical="center" indent="2"/>
    </xf>
    <xf numFmtId="0" fontId="12" fillId="0" borderId="0" xfId="1" applyFont="1" applyAlignment="1">
      <alignment horizontal="right" vertical="center"/>
    </xf>
    <xf numFmtId="0" fontId="14" fillId="0" borderId="0" xfId="1" applyFont="1" applyAlignment="1">
      <alignment horizontal="left"/>
    </xf>
    <xf numFmtId="0" fontId="9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172" fontId="16" fillId="0" borderId="0" xfId="1" applyNumberFormat="1" applyFont="1" applyAlignment="1">
      <alignment vertical="center"/>
    </xf>
    <xf numFmtId="0" fontId="17" fillId="0" borderId="0" xfId="1" applyFont="1" applyAlignment="1">
      <alignment horizontal="left" vertical="center" indent="1"/>
    </xf>
    <xf numFmtId="0" fontId="17" fillId="0" borderId="0" xfId="1" applyFont="1" applyAlignment="1">
      <alignment horizontal="left" vertical="center"/>
    </xf>
    <xf numFmtId="166" fontId="15" fillId="4" borderId="1" xfId="1" applyNumberFormat="1" applyFont="1" applyFill="1" applyBorder="1" applyAlignment="1">
      <alignment vertical="center"/>
    </xf>
    <xf numFmtId="166" fontId="15" fillId="4" borderId="2" xfId="1" applyNumberFormat="1" applyFont="1" applyFill="1" applyBorder="1" applyAlignment="1">
      <alignment vertical="center"/>
    </xf>
    <xf numFmtId="166" fontId="15" fillId="4" borderId="5" xfId="1" applyNumberFormat="1" applyFont="1" applyFill="1" applyBorder="1" applyAlignment="1">
      <alignment vertical="center"/>
    </xf>
    <xf numFmtId="169" fontId="14" fillId="4" borderId="1" xfId="1" applyNumberFormat="1" applyFont="1" applyFill="1" applyBorder="1" applyAlignment="1">
      <alignment horizontal="right" vertical="center"/>
    </xf>
    <xf numFmtId="169" fontId="14" fillId="4" borderId="2" xfId="1" applyNumberFormat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171" fontId="14" fillId="4" borderId="18" xfId="1" applyNumberFormat="1" applyFont="1" applyFill="1" applyBorder="1" applyAlignment="1">
      <alignment horizontal="right" vertical="center"/>
    </xf>
    <xf numFmtId="0" fontId="7" fillId="0" borderId="0" xfId="1" applyFont="1" applyAlignment="1">
      <alignment horizontal="left" vertical="center"/>
    </xf>
    <xf numFmtId="37" fontId="6" fillId="0" borderId="9" xfId="1" applyNumberFormat="1" applyFont="1" applyBorder="1" applyAlignment="1">
      <alignment vertical="center"/>
    </xf>
    <xf numFmtId="165" fontId="8" fillId="0" borderId="9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11" fillId="0" borderId="0" xfId="1" applyFont="1" applyAlignment="1">
      <alignment horizontal="left" vertical="center" indent="1"/>
    </xf>
    <xf numFmtId="174" fontId="20" fillId="4" borderId="0" xfId="1" applyNumberFormat="1" applyFont="1" applyFill="1" applyAlignment="1">
      <alignment horizontal="right" vertical="center"/>
    </xf>
    <xf numFmtId="174" fontId="11" fillId="4" borderId="0" xfId="1" applyNumberFormat="1" applyFont="1" applyFill="1" applyAlignment="1">
      <alignment horizontal="right" vertical="center"/>
    </xf>
    <xf numFmtId="172" fontId="16" fillId="4" borderId="0" xfId="1" applyNumberFormat="1" applyFont="1" applyFill="1" applyAlignment="1">
      <alignment vertical="center"/>
    </xf>
    <xf numFmtId="0" fontId="21" fillId="0" borderId="0" xfId="1" applyFont="1" applyAlignment="1">
      <alignment horizontal="center"/>
    </xf>
    <xf numFmtId="171" fontId="11" fillId="4" borderId="0" xfId="3" applyNumberFormat="1" applyFont="1" applyFill="1" applyAlignment="1">
      <alignment horizontal="right" vertical="center"/>
    </xf>
    <xf numFmtId="171" fontId="11" fillId="4" borderId="2" xfId="1" applyNumberFormat="1" applyFont="1" applyFill="1" applyBorder="1" applyAlignment="1">
      <alignment horizontal="right" vertical="center"/>
    </xf>
    <xf numFmtId="171" fontId="11" fillId="4" borderId="2" xfId="3" applyNumberFormat="1" applyFont="1" applyFill="1" applyBorder="1" applyAlignment="1">
      <alignment horizontal="right" vertical="center"/>
    </xf>
    <xf numFmtId="171" fontId="11" fillId="0" borderId="2" xfId="3" applyNumberFormat="1" applyFont="1" applyBorder="1" applyAlignment="1">
      <alignment horizontal="right" vertical="center"/>
    </xf>
    <xf numFmtId="175" fontId="11" fillId="4" borderId="19" xfId="1" applyNumberFormat="1" applyFont="1" applyFill="1" applyBorder="1" applyAlignment="1">
      <alignment horizontal="right" vertical="center"/>
    </xf>
    <xf numFmtId="175" fontId="11" fillId="0" borderId="19" xfId="1" applyNumberFormat="1" applyFont="1" applyBorder="1" applyAlignment="1">
      <alignment horizontal="right" vertical="center"/>
    </xf>
    <xf numFmtId="171" fontId="11" fillId="0" borderId="0" xfId="3" applyNumberFormat="1" applyFont="1" applyAlignment="1">
      <alignment horizontal="right" vertical="center"/>
    </xf>
    <xf numFmtId="171" fontId="12" fillId="0" borderId="20" xfId="1" applyNumberFormat="1" applyFont="1" applyBorder="1" applyAlignment="1">
      <alignment horizontal="right" vertical="center"/>
    </xf>
    <xf numFmtId="0" fontId="19" fillId="3" borderId="0" xfId="1" applyFont="1" applyFill="1" applyAlignment="1">
      <alignment horizontal="left" vertical="center" indent="1"/>
    </xf>
    <xf numFmtId="0" fontId="19" fillId="2" borderId="0" xfId="1" applyFont="1" applyFill="1" applyAlignment="1">
      <alignment horizontal="left" vertical="center" indent="1"/>
    </xf>
    <xf numFmtId="176" fontId="19" fillId="2" borderId="0" xfId="1" applyNumberFormat="1" applyFont="1" applyFill="1" applyAlignment="1">
      <alignment horizontal="left" vertical="center" indent="1"/>
    </xf>
    <xf numFmtId="173" fontId="19" fillId="2" borderId="0" xfId="1" applyNumberFormat="1" applyFont="1" applyFill="1" applyAlignment="1">
      <alignment horizontal="centerContinuous" vertical="center"/>
    </xf>
    <xf numFmtId="0" fontId="22" fillId="0" borderId="0" xfId="1" applyFont="1"/>
    <xf numFmtId="0" fontId="17" fillId="4" borderId="0" xfId="1" applyFont="1" applyFill="1" applyAlignment="1">
      <alignment horizontal="left" vertical="center"/>
    </xf>
    <xf numFmtId="0" fontId="14" fillId="0" borderId="0" xfId="1" applyFont="1" applyAlignment="1">
      <alignment horizontal="left" indent="1"/>
    </xf>
    <xf numFmtId="0" fontId="12" fillId="4" borderId="1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center"/>
    </xf>
    <xf numFmtId="171" fontId="15" fillId="4" borderId="8" xfId="1" applyNumberFormat="1" applyFont="1" applyFill="1" applyBorder="1" applyAlignment="1">
      <alignment horizontal="center"/>
    </xf>
    <xf numFmtId="0" fontId="14" fillId="0" borderId="0" xfId="1" applyFont="1"/>
    <xf numFmtId="171" fontId="12" fillId="0" borderId="0" xfId="1" applyNumberFormat="1" applyFont="1" applyAlignment="1">
      <alignment horizontal="right"/>
    </xf>
    <xf numFmtId="0" fontId="11" fillId="0" borderId="0" xfId="1" applyFont="1" applyAlignment="1">
      <alignment horizontal="left" indent="2"/>
    </xf>
    <xf numFmtId="177" fontId="16" fillId="4" borderId="1" xfId="1" applyNumberFormat="1" applyFont="1" applyFill="1" applyBorder="1" applyAlignment="1">
      <alignment horizontal="center" vertical="center"/>
    </xf>
    <xf numFmtId="177" fontId="16" fillId="4" borderId="5" xfId="1" applyNumberFormat="1" applyFont="1" applyFill="1" applyBorder="1" applyAlignment="1">
      <alignment horizontal="center" vertical="center"/>
    </xf>
    <xf numFmtId="177" fontId="23" fillId="4" borderId="8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 indent="1"/>
    </xf>
    <xf numFmtId="171" fontId="12" fillId="0" borderId="21" xfId="1" applyNumberFormat="1" applyFont="1" applyBorder="1" applyAlignment="1">
      <alignment horizontal="right"/>
    </xf>
    <xf numFmtId="171" fontId="12" fillId="0" borderId="22" xfId="1" applyNumberFormat="1" applyFont="1" applyBorder="1" applyAlignment="1">
      <alignment horizontal="right"/>
    </xf>
    <xf numFmtId="171" fontId="12" fillId="0" borderId="23" xfId="1" applyNumberFormat="1" applyFont="1" applyBorder="1" applyAlignment="1">
      <alignment horizontal="right"/>
    </xf>
    <xf numFmtId="171" fontId="11" fillId="4" borderId="21" xfId="3" applyNumberFormat="1" applyFont="1" applyFill="1" applyBorder="1" applyAlignment="1">
      <alignment horizontal="right"/>
    </xf>
    <xf numFmtId="171" fontId="11" fillId="4" borderId="22" xfId="3" applyNumberFormat="1" applyFont="1" applyFill="1" applyBorder="1" applyAlignment="1">
      <alignment horizontal="right"/>
    </xf>
    <xf numFmtId="171" fontId="11" fillId="4" borderId="23" xfId="3" applyNumberFormat="1" applyFont="1" applyFill="1" applyBorder="1" applyAlignment="1">
      <alignment horizontal="right"/>
    </xf>
    <xf numFmtId="171" fontId="11" fillId="4" borderId="24" xfId="3" applyNumberFormat="1" applyFont="1" applyFill="1" applyBorder="1" applyAlignment="1">
      <alignment horizontal="right"/>
    </xf>
    <xf numFmtId="177" fontId="16" fillId="4" borderId="4" xfId="1" applyNumberFormat="1" applyFont="1" applyFill="1" applyBorder="1" applyAlignment="1">
      <alignment horizontal="center" vertical="center"/>
    </xf>
    <xf numFmtId="177" fontId="16" fillId="4" borderId="7" xfId="1" applyNumberFormat="1" applyFont="1" applyFill="1" applyBorder="1" applyAlignment="1">
      <alignment horizontal="center" vertical="center"/>
    </xf>
    <xf numFmtId="177" fontId="23" fillId="4" borderId="25" xfId="1" applyNumberFormat="1" applyFont="1" applyFill="1" applyBorder="1" applyAlignment="1">
      <alignment horizontal="center" vertical="center"/>
    </xf>
    <xf numFmtId="171" fontId="12" fillId="0" borderId="26" xfId="1" applyNumberFormat="1" applyFont="1" applyBorder="1" applyAlignment="1">
      <alignment horizontal="right"/>
    </xf>
    <xf numFmtId="171" fontId="12" fillId="0" borderId="27" xfId="1" applyNumberFormat="1" applyFont="1" applyBorder="1" applyAlignment="1">
      <alignment horizontal="right"/>
    </xf>
    <xf numFmtId="171" fontId="11" fillId="4" borderId="26" xfId="3" applyNumberFormat="1" applyFont="1" applyFill="1" applyBorder="1" applyAlignment="1">
      <alignment horizontal="right"/>
    </xf>
    <xf numFmtId="171" fontId="11" fillId="4" borderId="0" xfId="3" applyNumberFormat="1" applyFont="1" applyFill="1" applyAlignment="1">
      <alignment horizontal="right"/>
    </xf>
    <xf numFmtId="171" fontId="11" fillId="4" borderId="27" xfId="3" applyNumberFormat="1" applyFont="1" applyFill="1" applyBorder="1" applyAlignment="1">
      <alignment horizontal="right"/>
    </xf>
    <xf numFmtId="171" fontId="11" fillId="4" borderId="28" xfId="3" applyNumberFormat="1" applyFont="1" applyFill="1" applyBorder="1" applyAlignment="1">
      <alignment horizontal="right"/>
    </xf>
    <xf numFmtId="171" fontId="11" fillId="4" borderId="29" xfId="3" applyNumberFormat="1" applyFont="1" applyFill="1" applyBorder="1" applyAlignment="1">
      <alignment horizontal="right"/>
    </xf>
    <xf numFmtId="171" fontId="11" fillId="4" borderId="17" xfId="3" applyNumberFormat="1" applyFont="1" applyFill="1" applyBorder="1" applyAlignment="1">
      <alignment horizontal="right"/>
    </xf>
    <xf numFmtId="171" fontId="11" fillId="4" borderId="30" xfId="3" applyNumberFormat="1" applyFont="1" applyFill="1" applyBorder="1" applyAlignment="1">
      <alignment horizontal="right"/>
    </xf>
    <xf numFmtId="0" fontId="11" fillId="0" borderId="24" xfId="1" applyFont="1" applyBorder="1" applyAlignment="1">
      <alignment horizontal="left" indent="2"/>
    </xf>
    <xf numFmtId="177" fontId="16" fillId="4" borderId="31" xfId="1" applyNumberFormat="1" applyFont="1" applyFill="1" applyBorder="1" applyAlignment="1">
      <alignment horizontal="center" vertical="center"/>
    </xf>
    <xf numFmtId="177" fontId="16" fillId="4" borderId="32" xfId="1" applyNumberFormat="1" applyFont="1" applyFill="1" applyBorder="1" applyAlignment="1">
      <alignment horizontal="center" vertical="center"/>
    </xf>
    <xf numFmtId="177" fontId="23" fillId="4" borderId="33" xfId="1" applyNumberFormat="1" applyFont="1" applyFill="1" applyBorder="1" applyAlignment="1">
      <alignment horizontal="center" vertical="center"/>
    </xf>
    <xf numFmtId="171" fontId="11" fillId="4" borderId="34" xfId="1" applyNumberFormat="1" applyFont="1" applyFill="1" applyBorder="1" applyAlignment="1">
      <alignment horizontal="right"/>
    </xf>
    <xf numFmtId="171" fontId="11" fillId="4" borderId="35" xfId="1" applyNumberFormat="1" applyFont="1" applyFill="1" applyBorder="1" applyAlignment="1">
      <alignment horizontal="right"/>
    </xf>
    <xf numFmtId="171" fontId="11" fillId="4" borderId="36" xfId="1" applyNumberFormat="1" applyFont="1" applyFill="1" applyBorder="1" applyAlignment="1">
      <alignment horizontal="right"/>
    </xf>
    <xf numFmtId="171" fontId="11" fillId="4" borderId="37" xfId="3" applyNumberFormat="1" applyFont="1" applyFill="1" applyBorder="1" applyAlignment="1">
      <alignment horizontal="right"/>
    </xf>
    <xf numFmtId="0" fontId="11" fillId="0" borderId="22" xfId="1" applyFont="1" applyBorder="1" applyAlignment="1">
      <alignment horizontal="left" indent="2"/>
    </xf>
    <xf numFmtId="171" fontId="11" fillId="4" borderId="26" xfId="1" applyNumberFormat="1" applyFont="1" applyFill="1" applyBorder="1" applyAlignment="1">
      <alignment horizontal="right"/>
    </xf>
    <xf numFmtId="171" fontId="11" fillId="4" borderId="0" xfId="1" applyNumberFormat="1" applyFont="1" applyFill="1" applyAlignment="1">
      <alignment horizontal="right"/>
    </xf>
    <xf numFmtId="171" fontId="11" fillId="4" borderId="27" xfId="1" applyNumberFormat="1" applyFont="1" applyFill="1" applyBorder="1" applyAlignment="1">
      <alignment horizontal="right"/>
    </xf>
    <xf numFmtId="0" fontId="4" fillId="0" borderId="0" xfId="1" applyFont="1"/>
    <xf numFmtId="177" fontId="16" fillId="4" borderId="38" xfId="1" applyNumberFormat="1" applyFont="1" applyFill="1" applyBorder="1" applyAlignment="1">
      <alignment horizontal="center" vertical="center"/>
    </xf>
    <xf numFmtId="177" fontId="16" fillId="4" borderId="39" xfId="1" applyNumberFormat="1" applyFont="1" applyFill="1" applyBorder="1" applyAlignment="1">
      <alignment horizontal="center" vertical="center"/>
    </xf>
    <xf numFmtId="177" fontId="23" fillId="4" borderId="40" xfId="1" applyNumberFormat="1" applyFont="1" applyFill="1" applyBorder="1" applyAlignment="1">
      <alignment horizontal="center" vertical="center"/>
    </xf>
    <xf numFmtId="171" fontId="12" fillId="0" borderId="29" xfId="1" applyNumberFormat="1" applyFont="1" applyBorder="1" applyAlignment="1">
      <alignment horizontal="right"/>
    </xf>
    <xf numFmtId="171" fontId="12" fillId="0" borderId="17" xfId="1" applyNumberFormat="1" applyFont="1" applyBorder="1" applyAlignment="1">
      <alignment horizontal="right"/>
    </xf>
    <xf numFmtId="0" fontId="11" fillId="0" borderId="26" xfId="1" applyFont="1" applyBorder="1"/>
    <xf numFmtId="171" fontId="11" fillId="4" borderId="29" xfId="1" applyNumberFormat="1" applyFont="1" applyFill="1" applyBorder="1" applyAlignment="1">
      <alignment horizontal="right"/>
    </xf>
    <xf numFmtId="171" fontId="11" fillId="4" borderId="17" xfId="1" applyNumberFormat="1" applyFont="1" applyFill="1" applyBorder="1" applyAlignment="1">
      <alignment horizontal="right"/>
    </xf>
    <xf numFmtId="0" fontId="9" fillId="0" borderId="0" xfId="1" applyFont="1" applyAlignment="1">
      <alignment horizontal="left"/>
    </xf>
    <xf numFmtId="0" fontId="15" fillId="4" borderId="8" xfId="1" applyFont="1" applyFill="1" applyBorder="1" applyAlignment="1">
      <alignment horizontal="center"/>
    </xf>
    <xf numFmtId="171" fontId="11" fillId="4" borderId="21" xfId="1" applyNumberFormat="1" applyFont="1" applyFill="1" applyBorder="1" applyAlignment="1">
      <alignment horizontal="right"/>
    </xf>
    <xf numFmtId="171" fontId="11" fillId="4" borderId="22" xfId="1" applyNumberFormat="1" applyFont="1" applyFill="1" applyBorder="1" applyAlignment="1">
      <alignment horizontal="right"/>
    </xf>
    <xf numFmtId="171" fontId="11" fillId="4" borderId="23" xfId="1" applyNumberFormat="1" applyFont="1" applyFill="1" applyBorder="1" applyAlignment="1">
      <alignment horizontal="right"/>
    </xf>
    <xf numFmtId="0" fontId="11" fillId="0" borderId="21" xfId="1" applyFont="1" applyBorder="1" applyAlignment="1">
      <alignment horizontal="left" indent="2"/>
    </xf>
    <xf numFmtId="0" fontId="11" fillId="0" borderId="23" xfId="1" applyFont="1" applyBorder="1" applyAlignment="1">
      <alignment horizontal="left"/>
    </xf>
    <xf numFmtId="177" fontId="23" fillId="4" borderId="41" xfId="1" applyNumberFormat="1" applyFont="1" applyFill="1" applyBorder="1" applyAlignment="1">
      <alignment horizontal="center" vertical="center"/>
    </xf>
    <xf numFmtId="0" fontId="11" fillId="0" borderId="29" xfId="1" applyFont="1" applyBorder="1" applyAlignment="1">
      <alignment horizontal="left" indent="2"/>
    </xf>
    <xf numFmtId="0" fontId="11" fillId="0" borderId="30" xfId="1" applyFont="1" applyBorder="1" applyAlignment="1">
      <alignment horizontal="left"/>
    </xf>
    <xf numFmtId="171" fontId="11" fillId="4" borderId="30" xfId="1" applyNumberFormat="1" applyFont="1" applyFill="1" applyBorder="1" applyAlignment="1">
      <alignment horizontal="right"/>
    </xf>
    <xf numFmtId="0" fontId="9" fillId="0" borderId="0" xfId="1" applyFont="1" applyAlignment="1">
      <alignment horizontal="left" indent="2"/>
    </xf>
    <xf numFmtId="173" fontId="15" fillId="0" borderId="0" xfId="1" applyNumberFormat="1" applyFont="1" applyAlignment="1">
      <alignment horizontal="left" vertical="center" indent="1"/>
    </xf>
    <xf numFmtId="166" fontId="15" fillId="0" borderId="1" xfId="1" applyNumberFormat="1" applyFont="1" applyBorder="1" applyAlignment="1">
      <alignment vertical="center"/>
    </xf>
    <xf numFmtId="166" fontId="15" fillId="0" borderId="2" xfId="1" applyNumberFormat="1" applyFont="1" applyBorder="1" applyAlignment="1">
      <alignment vertical="center"/>
    </xf>
    <xf numFmtId="166" fontId="15" fillId="0" borderId="5" xfId="1" applyNumberFormat="1" applyFont="1" applyBorder="1" applyAlignment="1">
      <alignment vertical="center"/>
    </xf>
    <xf numFmtId="166" fontId="15" fillId="0" borderId="12" xfId="1" applyNumberFormat="1" applyFont="1" applyBorder="1" applyAlignment="1">
      <alignment vertical="center"/>
    </xf>
    <xf numFmtId="0" fontId="9" fillId="0" borderId="42" xfId="1" applyFont="1" applyBorder="1" applyAlignment="1">
      <alignment vertical="center"/>
    </xf>
    <xf numFmtId="169" fontId="14" fillId="0" borderId="12" xfId="1" applyNumberFormat="1" applyFont="1" applyBorder="1" applyAlignment="1">
      <alignment horizontal="right" vertical="center"/>
    </xf>
    <xf numFmtId="171" fontId="14" fillId="0" borderId="18" xfId="1" applyNumberFormat="1" applyFont="1" applyBorder="1" applyAlignment="1">
      <alignment horizontal="right" vertical="center"/>
    </xf>
    <xf numFmtId="174" fontId="20" fillId="0" borderId="0" xfId="1" applyNumberFormat="1" applyFont="1" applyAlignment="1">
      <alignment horizontal="right" vertical="center"/>
    </xf>
    <xf numFmtId="174" fontId="11" fillId="0" borderId="0" xfId="1" applyNumberFormat="1" applyFont="1" applyAlignment="1">
      <alignment horizontal="right" vertical="center"/>
    </xf>
    <xf numFmtId="171" fontId="11" fillId="0" borderId="2" xfId="1" applyNumberFormat="1" applyFont="1" applyBorder="1" applyAlignment="1">
      <alignment horizontal="right" vertical="center"/>
    </xf>
    <xf numFmtId="0" fontId="12" fillId="0" borderId="1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5" fillId="0" borderId="8" xfId="1" applyFont="1" applyBorder="1" applyAlignment="1">
      <alignment horizontal="center"/>
    </xf>
    <xf numFmtId="177" fontId="16" fillId="0" borderId="1" xfId="1" applyNumberFormat="1" applyFont="1" applyBorder="1" applyAlignment="1">
      <alignment horizontal="center" vertical="center"/>
    </xf>
    <xf numFmtId="177" fontId="16" fillId="0" borderId="5" xfId="1" applyNumberFormat="1" applyFont="1" applyBorder="1" applyAlignment="1">
      <alignment horizontal="center" vertical="center"/>
    </xf>
    <xf numFmtId="177" fontId="23" fillId="0" borderId="8" xfId="1" applyNumberFormat="1" applyFont="1" applyBorder="1" applyAlignment="1">
      <alignment horizontal="center" vertical="center"/>
    </xf>
    <xf numFmtId="171" fontId="11" fillId="0" borderId="21" xfId="3" applyNumberFormat="1" applyFont="1" applyBorder="1" applyAlignment="1">
      <alignment horizontal="right"/>
    </xf>
    <xf numFmtId="171" fontId="11" fillId="0" borderId="22" xfId="3" applyNumberFormat="1" applyFont="1" applyBorder="1" applyAlignment="1">
      <alignment horizontal="right"/>
    </xf>
    <xf numFmtId="171" fontId="11" fillId="0" borderId="23" xfId="3" applyNumberFormat="1" applyFont="1" applyBorder="1" applyAlignment="1">
      <alignment horizontal="right"/>
    </xf>
    <xf numFmtId="171" fontId="11" fillId="0" borderId="24" xfId="3" applyNumberFormat="1" applyFont="1" applyBorder="1" applyAlignment="1">
      <alignment horizontal="right"/>
    </xf>
    <xf numFmtId="177" fontId="16" fillId="0" borderId="4" xfId="1" applyNumberFormat="1" applyFont="1" applyBorder="1" applyAlignment="1">
      <alignment horizontal="center" vertical="center"/>
    </xf>
    <xf numFmtId="177" fontId="16" fillId="0" borderId="7" xfId="1" applyNumberFormat="1" applyFont="1" applyBorder="1" applyAlignment="1">
      <alignment horizontal="center" vertical="center"/>
    </xf>
    <xf numFmtId="177" fontId="23" fillId="0" borderId="25" xfId="1" applyNumberFormat="1" applyFont="1" applyBorder="1" applyAlignment="1">
      <alignment horizontal="center" vertical="center"/>
    </xf>
    <xf numFmtId="171" fontId="11" fillId="0" borderId="26" xfId="3" applyNumberFormat="1" applyFont="1" applyBorder="1" applyAlignment="1">
      <alignment horizontal="right"/>
    </xf>
    <xf numFmtId="171" fontId="11" fillId="0" borderId="0" xfId="3" applyNumberFormat="1" applyFont="1" applyAlignment="1">
      <alignment horizontal="right"/>
    </xf>
    <xf numFmtId="171" fontId="11" fillId="0" borderId="27" xfId="3" applyNumberFormat="1" applyFont="1" applyBorder="1" applyAlignment="1">
      <alignment horizontal="right"/>
    </xf>
    <xf numFmtId="171" fontId="11" fillId="0" borderId="28" xfId="3" applyNumberFormat="1" applyFont="1" applyBorder="1" applyAlignment="1">
      <alignment horizontal="right"/>
    </xf>
    <xf numFmtId="171" fontId="11" fillId="0" borderId="29" xfId="3" applyNumberFormat="1" applyFont="1" applyBorder="1" applyAlignment="1">
      <alignment horizontal="right"/>
    </xf>
    <xf numFmtId="171" fontId="11" fillId="0" borderId="17" xfId="3" applyNumberFormat="1" applyFont="1" applyBorder="1" applyAlignment="1">
      <alignment horizontal="right"/>
    </xf>
    <xf numFmtId="171" fontId="11" fillId="0" borderId="30" xfId="3" applyNumberFormat="1" applyFont="1" applyBorder="1" applyAlignment="1">
      <alignment horizontal="right"/>
    </xf>
    <xf numFmtId="177" fontId="16" fillId="0" borderId="31" xfId="1" applyNumberFormat="1" applyFont="1" applyBorder="1" applyAlignment="1">
      <alignment horizontal="center" vertical="center"/>
    </xf>
    <xf numFmtId="177" fontId="16" fillId="0" borderId="32" xfId="1" applyNumberFormat="1" applyFont="1" applyBorder="1" applyAlignment="1">
      <alignment horizontal="center" vertical="center"/>
    </xf>
    <xf numFmtId="177" fontId="23" fillId="0" borderId="33" xfId="1" applyNumberFormat="1" applyFont="1" applyBorder="1" applyAlignment="1">
      <alignment horizontal="center" vertical="center"/>
    </xf>
    <xf numFmtId="171" fontId="11" fillId="0" borderId="34" xfId="1" applyNumberFormat="1" applyFont="1" applyBorder="1" applyAlignment="1">
      <alignment horizontal="right"/>
    </xf>
    <xf numFmtId="171" fontId="11" fillId="0" borderId="35" xfId="1" applyNumberFormat="1" applyFont="1" applyBorder="1" applyAlignment="1">
      <alignment horizontal="right"/>
    </xf>
    <xf numFmtId="171" fontId="11" fillId="0" borderId="36" xfId="1" applyNumberFormat="1" applyFont="1" applyBorder="1" applyAlignment="1">
      <alignment horizontal="right"/>
    </xf>
    <xf numFmtId="171" fontId="11" fillId="0" borderId="37" xfId="3" applyNumberFormat="1" applyFont="1" applyBorder="1" applyAlignment="1">
      <alignment horizontal="right"/>
    </xf>
    <xf numFmtId="171" fontId="11" fillId="0" borderId="26" xfId="1" applyNumberFormat="1" applyFont="1" applyBorder="1" applyAlignment="1">
      <alignment horizontal="right"/>
    </xf>
    <xf numFmtId="171" fontId="11" fillId="0" borderId="0" xfId="1" applyNumberFormat="1" applyFont="1" applyAlignment="1">
      <alignment horizontal="right"/>
    </xf>
    <xf numFmtId="171" fontId="11" fillId="0" borderId="27" xfId="1" applyNumberFormat="1" applyFont="1" applyBorder="1" applyAlignment="1">
      <alignment horizontal="right"/>
    </xf>
    <xf numFmtId="177" fontId="16" fillId="0" borderId="38" xfId="1" applyNumberFormat="1" applyFont="1" applyBorder="1" applyAlignment="1">
      <alignment horizontal="center" vertical="center"/>
    </xf>
    <xf numFmtId="177" fontId="16" fillId="0" borderId="39" xfId="1" applyNumberFormat="1" applyFont="1" applyBorder="1" applyAlignment="1">
      <alignment horizontal="center" vertical="center"/>
    </xf>
    <xf numFmtId="177" fontId="23" fillId="0" borderId="40" xfId="1" applyNumberFormat="1" applyFont="1" applyBorder="1" applyAlignment="1">
      <alignment horizontal="center" vertical="center"/>
    </xf>
    <xf numFmtId="171" fontId="11" fillId="0" borderId="29" xfId="1" applyNumberFormat="1" applyFont="1" applyBorder="1" applyAlignment="1">
      <alignment horizontal="right"/>
    </xf>
    <xf numFmtId="171" fontId="11" fillId="0" borderId="17" xfId="1" applyNumberFormat="1" applyFont="1" applyBorder="1" applyAlignment="1">
      <alignment horizontal="right"/>
    </xf>
    <xf numFmtId="171" fontId="11" fillId="0" borderId="21" xfId="1" applyNumberFormat="1" applyFont="1" applyBorder="1" applyAlignment="1">
      <alignment horizontal="right"/>
    </xf>
    <xf numFmtId="171" fontId="11" fillId="0" borderId="22" xfId="1" applyNumberFormat="1" applyFont="1" applyBorder="1" applyAlignment="1">
      <alignment horizontal="right"/>
    </xf>
    <xf numFmtId="171" fontId="11" fillId="0" borderId="23" xfId="1" applyNumberFormat="1" applyFont="1" applyBorder="1" applyAlignment="1">
      <alignment horizontal="right"/>
    </xf>
    <xf numFmtId="177" fontId="23" fillId="0" borderId="41" xfId="1" applyNumberFormat="1" applyFont="1" applyBorder="1" applyAlignment="1">
      <alignment horizontal="center" vertical="center"/>
    </xf>
    <xf numFmtId="171" fontId="11" fillId="0" borderId="30" xfId="1" applyNumberFormat="1" applyFont="1" applyBorder="1" applyAlignment="1">
      <alignment horizontal="right"/>
    </xf>
    <xf numFmtId="171" fontId="11" fillId="4" borderId="20" xfId="1" applyNumberFormat="1" applyFont="1" applyFill="1" applyBorder="1" applyAlignment="1">
      <alignment horizontal="right" vertical="center"/>
    </xf>
  </cellXfs>
  <cellStyles count="4">
    <cellStyle name="Comma 2" xfId="2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027216733229068E-2"/>
          <c:y val="3.2744227064645783E-2"/>
          <c:w val="0.76694788178987805"/>
          <c:h val="0.89587864736073886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EE-44E9-902A-A02431F9D1F6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EE-44E9-902A-A02431F9D1F6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EE-44E9-902A-A02431F9D1F6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69-484A-A98B-1584C9FFD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\Q0_)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_(#,##0_);\(#,##0\);_("–"_);_(@_)</c:formatCode>
              <c:ptCount val="4"/>
              <c:pt idx="0">
                <c:v>1802</c:v>
              </c:pt>
              <c:pt idx="1">
                <c:v>2427</c:v>
              </c:pt>
              <c:pt idx="2">
                <c:v>3016</c:v>
              </c:pt>
              <c:pt idx="3">
                <c:v>2501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A0EE-44E9-902A-A02431F9D1F6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727477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0EE-44E9-902A-A02431F9D1F6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0EE-44E9-902A-A02431F9D1F6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69-484A-A98B-1584C9FFD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\Q0_)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_(#,##0_);\(#,##0\);_("–"_);_(@_)</c:formatCode>
              <c:ptCount val="4"/>
              <c:pt idx="0">
                <c:v>2370</c:v>
              </c:pt>
              <c:pt idx="1">
                <c:v>2981</c:v>
              </c:pt>
              <c:pt idx="2">
                <c:v>3580</c:v>
              </c:pt>
              <c:pt idx="3">
                <c:v>3034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7-A0EE-44E9-902A-A02431F9D1F6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0000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0EE-44E9-902A-A02431F9D1F6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0EE-44E9-902A-A02431F9D1F6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69-484A-A98B-1584C9FFD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\Q0_)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_(#,##0_);\(#,##0\);_("–"_);_(@_)</c:formatCode>
              <c:ptCount val="4"/>
              <c:pt idx="0">
                <c:v>2963</c:v>
              </c:pt>
              <c:pt idx="1">
                <c:v>3685</c:v>
              </c:pt>
              <c:pt idx="2">
                <c:v>4248</c:v>
              </c:pt>
              <c:pt idx="3">
                <c:v>3701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3-A0EE-44E9-902A-A02431F9D1F6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none"/>
          </c:marker>
          <c:cat>
            <c:numLit>
              <c:formatCode>\Q0_)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_(#,##0_);\(#,##0\);_("–"_);_(@_)</c:formatCode>
              <c:ptCount val="4"/>
              <c:pt idx="0">
                <c:v>3350</c:v>
              </c:pt>
              <c:pt idx="1">
                <c:v>4050</c:v>
              </c:pt>
              <c:pt idx="2">
                <c:v>4550</c:v>
              </c:pt>
              <c:pt idx="3">
                <c:v>4050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4-A0EE-44E9-902A-A02431F9D1F6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0EE-44E9-902A-A02431F9D1F6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0EE-44E9-902A-A02431F9D1F6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0EE-44E9-902A-A02431F9D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\Q0_)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_(#,##0_);\(#,##0\);_("–"_);_(@_)</c:formatCode>
              <c:ptCount val="4"/>
              <c:pt idx="0">
                <c:v>3350</c:v>
              </c:pt>
              <c:pt idx="1">
                <c:v>4050</c:v>
              </c:pt>
              <c:pt idx="2">
                <c:v>4550</c:v>
              </c:pt>
              <c:pt idx="3">
                <c:v>4050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31-A0EE-44E9-902A-A02431F9D1F6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A0EE-44E9-902A-A02431F9D1F6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0EE-44E9-902A-A02431F9D1F6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A0EE-44E9-902A-A02431F9D1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\Q0_)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_(#,##0_);\(#,##0\);_("–"_);_(@_)</c:formatCode>
              <c:ptCount val="4"/>
              <c:pt idx="0">
                <c:v>3950</c:v>
              </c:pt>
              <c:pt idx="1">
                <c:v>4575</c:v>
              </c:pt>
              <c:pt idx="2">
                <c:v>4970</c:v>
              </c:pt>
              <c:pt idx="3">
                <c:v>4515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3D-A0EE-44E9-902A-A02431F9D1F6}"/>
            </c:ext>
          </c:extLst>
        </c:ser>
        <c:ser>
          <c:idx val="6"/>
          <c:order val="6"/>
          <c:tx>
            <c:v>Budget</c:v>
          </c:tx>
          <c:spPr>
            <a:ln w="28575" cap="rnd">
              <a:solidFill>
                <a:srgbClr val="FA621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FA621C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A0EE-44E9-902A-A02431F9D1F6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A0EE-44E9-902A-A02431F9D1F6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69-484A-A98B-1584C9FFD0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A621C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\Q0_)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_(#,##0_);\(#,##0\);_("–"_);_(@_)</c:formatCode>
              <c:ptCount val="4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49-A0EE-44E9-902A-A02431F9D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92192"/>
        <c:axId val="93618560"/>
      </c:lineChart>
      <c:catAx>
        <c:axId val="93592192"/>
        <c:scaling>
          <c:orientation val="minMax"/>
        </c:scaling>
        <c:delete val="0"/>
        <c:axPos val="b"/>
        <c:numFmt formatCode="\Q0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93618560"/>
        <c:crosses val="autoZero"/>
        <c:auto val="1"/>
        <c:lblAlgn val="ctr"/>
        <c:lblOffset val="100"/>
        <c:noMultiLvlLbl val="0"/>
      </c:catAx>
      <c:valAx>
        <c:axId val="93618560"/>
        <c:scaling>
          <c:orientation val="minMax"/>
          <c:max val="50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#,##0_);\(#,##0\);_(&quot;–&quot;_);_(@_)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93592192"/>
        <c:crosses val="autoZero"/>
        <c:crossBetween val="between"/>
        <c:majorUnit val="500"/>
        <c:minorUnit val="100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021537660371474E-4"/>
          <c:y val="0.11250357754528148"/>
          <c:w val="0.9986464304552477"/>
          <c:h val="0.77833643008681508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0"/>
              <c:layout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2F-49C7-BAC7-D1DEF0D08ADE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2F-49C7-BAC7-D1DEF0D08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_(#,##0_);\(#,##0\);_("–"_);_(@_)</c:formatCode>
              <c:ptCount val="2"/>
              <c:pt idx="0">
                <c:v>9746</c:v>
              </c:pt>
              <c:pt idx="1">
                <c:v>9746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72F-49C7-BAC7-D1DEF0D08ADE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72747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layout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2F-49C7-BAC7-D1DEF0D08ADE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2F-49C7-BAC7-D1DEF0D08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_(#,##0_);\(#,##0\);_("–"_);_(@_)</c:formatCode>
              <c:ptCount val="2"/>
              <c:pt idx="0">
                <c:v>11965</c:v>
              </c:pt>
              <c:pt idx="1">
                <c:v>11965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72F-49C7-BAC7-D1DEF0D08ADE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2F-49C7-BAC7-D1DEF0D08ADE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2F-49C7-BAC7-D1DEF0D08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_(#,##0_);\(#,##0\);_("–"_);_(@_)</c:formatCode>
              <c:ptCount val="2"/>
              <c:pt idx="0">
                <c:v>14597</c:v>
              </c:pt>
              <c:pt idx="1">
                <c:v>14597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72F-49C7-BAC7-D1DEF0D08ADE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AFC8EE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2F-49C7-BAC7-D1DEF0D08ADE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AFC8EE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2F-49C7-BAC7-D1DEF0D08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_(#,##0_);\(#,##0\);_("–"_);_(@_)</c:formatCode>
              <c:ptCount val="2"/>
              <c:pt idx="0">
                <c:v>16000</c:v>
              </c:pt>
              <c:pt idx="1">
                <c:v>16000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472F-49C7-BAC7-D1DEF0D08ADE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AFC8EE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layout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2F-49C7-BAC7-D1DEF0D08ADE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72F-49C7-BAC7-D1DEF0D08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_(#,##0_);\(#,##0\);_("–"_);_(@_)</c:formatCode>
              <c:ptCount val="2"/>
              <c:pt idx="0">
                <c:v>16000</c:v>
              </c:pt>
              <c:pt idx="1">
                <c:v>16000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472F-49C7-BAC7-D1DEF0D08ADE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0"/>
              <c:layout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45-449E-988D-717946DBD287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72F-49C7-BAC7-D1DEF0D08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_(#,##0_);\(#,##0\);_("–"_);_(@_)</c:formatCode>
              <c:ptCount val="2"/>
              <c:pt idx="0">
                <c:v>18010</c:v>
              </c:pt>
              <c:pt idx="1">
                <c:v>18010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472F-49C7-BAC7-D1DEF0D08ADE}"/>
            </c:ext>
          </c:extLst>
        </c:ser>
        <c:ser>
          <c:idx val="6"/>
          <c:order val="6"/>
          <c:tx>
            <c:v>Budget</c:v>
          </c:tx>
          <c:spPr>
            <a:ln w="28575" cap="rnd" cmpd="sng" algn="ctr">
              <a:solidFill>
                <a:srgbClr val="FA621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FA621C"/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layout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72F-49C7-BAC7-D1DEF0D08ADE}"/>
                </c:ext>
              </c:extLst>
            </c:dLbl>
            <c:dLbl>
              <c:idx val="1"/>
              <c:layout>
                <c:manualLayout>
                  <c:x val="-1.4378918860822581E-16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2F-49C7-BAC7-D1DEF0D08A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A621C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_(#,##0_);\(#,##0\);_("–"_);_(@_)</c:formatCode>
              <c:ptCount val="2"/>
              <c:pt idx="0">
                <c:v>#N/A</c:v>
              </c:pt>
              <c:pt idx="1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3-472F-49C7-BAC7-D1DEF0D08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19616"/>
        <c:axId val="96721152"/>
      </c:lineChart>
      <c:catAx>
        <c:axId val="96719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721152"/>
        <c:crosses val="autoZero"/>
        <c:auto val="1"/>
        <c:lblAlgn val="ctr"/>
        <c:lblOffset val="100"/>
        <c:noMultiLvlLbl val="0"/>
      </c:catAx>
      <c:valAx>
        <c:axId val="96721152"/>
        <c:scaling>
          <c:orientation val="minMax"/>
          <c:max val="18100"/>
          <c:min val="9700"/>
        </c:scaling>
        <c:delete val="1"/>
        <c:axPos val="l"/>
        <c:numFmt formatCode="_(#,##0_);\(#,##0\);_(&quot;–&quot;_);_(@_)" sourceLinked="1"/>
        <c:majorTickMark val="out"/>
        <c:minorTickMark val="none"/>
        <c:tickLblPos val="nextTo"/>
        <c:crossAx val="96719616"/>
        <c:crosses val="autoZero"/>
        <c:crossBetween val="between"/>
      </c:valAx>
      <c:spPr>
        <a:noFill/>
        <a:ln w="9525">
          <a:noFill/>
          <a:prstDash val="dash"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44658294680356E-2"/>
          <c:y val="3.274421379145788E-2"/>
          <c:w val="0.80659007155447215"/>
          <c:h val="0.89815628728227137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 cmpd="sng" algn="ctr">
              <a:solidFill>
                <a:srgbClr val="BFBF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0F-4B2E-94A1-DD5DC4466EF1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0F-4B2E-94A1-DD5DC4466EF1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0F-4B2E-94A1-DD5DC4466EF1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0F-4B2E-94A1-DD5DC4466EF1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0F-4B2E-94A1-DD5DC4466EF1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00F-4B2E-94A1-DD5DC4466EF1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0F-4B2E-94A1-DD5DC4466EF1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00F-4B2E-94A1-DD5DC4466EF1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0F-4B2E-94A1-DD5DC4466EF1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00F-4B2E-94A1-DD5DC4466EF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6F-4DA9-B697-217A403EAE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mmm_)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_(#,##0_);\(#,##0\);_("–"_);_(@_)</c:formatCode>
              <c:ptCount val="12"/>
              <c:pt idx="0">
                <c:v>695</c:v>
              </c:pt>
              <c:pt idx="1">
                <c:v>596</c:v>
              </c:pt>
              <c:pt idx="2">
                <c:v>511</c:v>
              </c:pt>
              <c:pt idx="3">
                <c:v>632</c:v>
              </c:pt>
              <c:pt idx="4">
                <c:v>772</c:v>
              </c:pt>
              <c:pt idx="5">
                <c:v>1023</c:v>
              </c:pt>
              <c:pt idx="6">
                <c:v>1072</c:v>
              </c:pt>
              <c:pt idx="7">
                <c:v>1056</c:v>
              </c:pt>
              <c:pt idx="8">
                <c:v>888</c:v>
              </c:pt>
              <c:pt idx="9">
                <c:v>894</c:v>
              </c:pt>
              <c:pt idx="10">
                <c:v>886</c:v>
              </c:pt>
              <c:pt idx="11">
                <c:v>721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200F-4B2E-94A1-DD5DC4466EF1}"/>
            </c:ext>
          </c:extLst>
        </c:ser>
        <c:ser>
          <c:idx val="0"/>
          <c:order val="1"/>
          <c:tx>
            <c:v>2023</c:v>
          </c:tx>
          <c:spPr>
            <a:ln w="28575" cap="rnd" cmpd="sng" algn="ctr">
              <a:solidFill>
                <a:srgbClr val="727477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727477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0F-4B2E-94A1-DD5DC4466EF1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0F-4B2E-94A1-DD5DC4466EF1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0F-4B2E-94A1-DD5DC4466EF1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0F-4B2E-94A1-DD5DC4466EF1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0F-4B2E-94A1-DD5DC4466EF1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0F-4B2E-94A1-DD5DC4466EF1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0F-4B2E-94A1-DD5DC4466EF1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0F-4B2E-94A1-DD5DC4466EF1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0F-4B2E-94A1-DD5DC4466EF1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0F-4B2E-94A1-DD5DC4466EF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6F-4DA9-B697-217A403EAED3}"/>
                </c:ext>
              </c:extLst>
            </c:dLbl>
            <c:spPr>
              <a:noFill/>
              <a:ln w="9525" cap="flat" cmpd="sng" algn="ctr">
                <a:noFill/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727477"/>
                    </a:solidFill>
                    <a:prstDash val="solid"/>
                    <a:round/>
                    <a:headEnd type="none" w="med" len="med"/>
                    <a:tailEnd type="none" w="med" len="med"/>
                  </a14:hiddenLine>
                </a:ext>
              </a:ex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mmm_)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_(#,##0_);\(#,##0\);_("–"_);_(@_)</c:formatCode>
              <c:ptCount val="12"/>
              <c:pt idx="0">
                <c:v>920</c:v>
              </c:pt>
              <c:pt idx="1">
                <c:v>738</c:v>
              </c:pt>
              <c:pt idx="2">
                <c:v>712</c:v>
              </c:pt>
              <c:pt idx="3">
                <c:v>799</c:v>
              </c:pt>
              <c:pt idx="4">
                <c:v>997</c:v>
              </c:pt>
              <c:pt idx="5">
                <c:v>1185</c:v>
              </c:pt>
              <c:pt idx="6">
                <c:v>1230</c:v>
              </c:pt>
              <c:pt idx="7">
                <c:v>1267</c:v>
              </c:pt>
              <c:pt idx="8">
                <c:v>1083</c:v>
              </c:pt>
              <c:pt idx="9">
                <c:v>1076</c:v>
              </c:pt>
              <c:pt idx="10">
                <c:v>1046</c:v>
              </c:pt>
              <c:pt idx="11">
                <c:v>912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7-200F-4B2E-94A1-DD5DC4466EF1}"/>
            </c:ext>
          </c:extLst>
        </c:ser>
        <c:ser>
          <c:idx val="3"/>
          <c:order val="2"/>
          <c:tx>
            <c:v>2024</c:v>
          </c:tx>
          <c:spPr>
            <a:ln w="28575" cap="rnd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0000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00F-4B2E-94A1-DD5DC4466EF1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00F-4B2E-94A1-DD5DC4466EF1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00F-4B2E-94A1-DD5DC4466EF1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00F-4B2E-94A1-DD5DC4466EF1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00F-4B2E-94A1-DD5DC4466EF1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00F-4B2E-94A1-DD5DC4466EF1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00F-4B2E-94A1-DD5DC4466EF1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00F-4B2E-94A1-DD5DC4466EF1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00F-4B2E-94A1-DD5DC4466EF1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00F-4B2E-94A1-DD5DC4466EF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6F-4DA9-B697-217A403EAE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mmm_)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_(#,##0_);\(#,##0\);_("–"_);_(@_)</c:formatCode>
              <c:ptCount val="12"/>
              <c:pt idx="0">
                <c:v>1088</c:v>
              </c:pt>
              <c:pt idx="1">
                <c:v>947</c:v>
              </c:pt>
              <c:pt idx="2">
                <c:v>928</c:v>
              </c:pt>
              <c:pt idx="3">
                <c:v>1031</c:v>
              </c:pt>
              <c:pt idx="4">
                <c:v>1226</c:v>
              </c:pt>
              <c:pt idx="5">
                <c:v>1428</c:v>
              </c:pt>
              <c:pt idx="6">
                <c:v>1442</c:v>
              </c:pt>
              <c:pt idx="7">
                <c:v>1485</c:v>
              </c:pt>
              <c:pt idx="8">
                <c:v>1321</c:v>
              </c:pt>
              <c:pt idx="9">
                <c:v>1313</c:v>
              </c:pt>
              <c:pt idx="10">
                <c:v>1264</c:v>
              </c:pt>
              <c:pt idx="11">
                <c:v>1124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3-200F-4B2E-94A1-DD5DC4466EF1}"/>
            </c:ext>
          </c:extLst>
        </c:ser>
        <c:ser>
          <c:idx val="2"/>
          <c:order val="3"/>
          <c:tx>
            <c:v>2025</c:v>
          </c:tx>
          <c:spPr>
            <a:ln w="28575" cap="rnd" cmpd="sng" algn="ctr">
              <a:solidFill>
                <a:srgbClr val="AFC8EE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Lit>
              <c:formatCode>mmm_)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_(#,##0_);\(#,##0\);_("–"_);_(@_)</c:formatCode>
              <c:ptCount val="12"/>
              <c:pt idx="0">
                <c:v>1200</c:v>
              </c:pt>
              <c:pt idx="1">
                <c:v>1070</c:v>
              </c:pt>
              <c:pt idx="2">
                <c:v>1080</c:v>
              </c:pt>
              <c:pt idx="3">
                <c:v>1200</c:v>
              </c:pt>
              <c:pt idx="4">
                <c:v>1350</c:v>
              </c:pt>
              <c:pt idx="5">
                <c:v>1500</c:v>
              </c:pt>
              <c:pt idx="6">
                <c:v>1550</c:v>
              </c:pt>
              <c:pt idx="7">
                <c:v>1550</c:v>
              </c:pt>
              <c:pt idx="8">
                <c:v>1450</c:v>
              </c:pt>
              <c:pt idx="9">
                <c:v>1400</c:v>
              </c:pt>
              <c:pt idx="10">
                <c:v>1350</c:v>
              </c:pt>
              <c:pt idx="11">
                <c:v>1300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4-200F-4B2E-94A1-DD5DC4466EF1}"/>
            </c:ext>
          </c:extLst>
        </c:ser>
        <c:ser>
          <c:idx val="4"/>
          <c:order val="4"/>
          <c:tx>
            <c:v>2025</c:v>
          </c:tx>
          <c:spPr>
            <a:ln w="28575" cap="rnd" cmpd="sng" algn="ctr">
              <a:solidFill>
                <a:srgbClr val="AFC8EE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AFC8EE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00F-4B2E-94A1-DD5DC4466EF1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00F-4B2E-94A1-DD5DC4466EF1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00F-4B2E-94A1-DD5DC4466EF1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00F-4B2E-94A1-DD5DC4466EF1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00F-4B2E-94A1-DD5DC4466EF1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00F-4B2E-94A1-DD5DC4466EF1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00F-4B2E-94A1-DD5DC4466EF1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00F-4B2E-94A1-DD5DC4466EF1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00F-4B2E-94A1-DD5DC4466EF1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00F-4B2E-94A1-DD5DC4466EF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00F-4B2E-94A1-DD5DC4466E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mmm_)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_(#,##0_);\(#,##0\);_("–"_);_(@_)</c:formatCode>
              <c:ptCount val="12"/>
              <c:pt idx="0">
                <c:v>1200</c:v>
              </c:pt>
              <c:pt idx="1">
                <c:v>1070</c:v>
              </c:pt>
              <c:pt idx="2">
                <c:v>1080</c:v>
              </c:pt>
              <c:pt idx="3">
                <c:v>1200</c:v>
              </c:pt>
              <c:pt idx="4">
                <c:v>1350</c:v>
              </c:pt>
              <c:pt idx="5">
                <c:v>1500</c:v>
              </c:pt>
              <c:pt idx="6">
                <c:v>1550</c:v>
              </c:pt>
              <c:pt idx="7">
                <c:v>1550</c:v>
              </c:pt>
              <c:pt idx="8">
                <c:v>1450</c:v>
              </c:pt>
              <c:pt idx="9">
                <c:v>1400</c:v>
              </c:pt>
              <c:pt idx="10">
                <c:v>1350</c:v>
              </c:pt>
              <c:pt idx="11">
                <c:v>1300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31-200F-4B2E-94A1-DD5DC4466EF1}"/>
            </c:ext>
          </c:extLst>
        </c:ser>
        <c:ser>
          <c:idx val="5"/>
          <c:order val="5"/>
          <c:tx>
            <c:v>2026</c:v>
          </c:tx>
          <c:spPr>
            <a:ln w="28575" cap="rnd" cmpd="sng" algn="ctr">
              <a:solidFill>
                <a:srgbClr val="3271D2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00F-4B2E-94A1-DD5DC4466EF1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00F-4B2E-94A1-DD5DC4466EF1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00F-4B2E-94A1-DD5DC4466EF1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00F-4B2E-94A1-DD5DC4466EF1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00F-4B2E-94A1-DD5DC4466EF1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00F-4B2E-94A1-DD5DC4466EF1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00F-4B2E-94A1-DD5DC4466EF1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00F-4B2E-94A1-DD5DC4466EF1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00F-4B2E-94A1-DD5DC4466EF1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00F-4B2E-94A1-DD5DC4466EF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6F-4DA9-B697-217A403EAE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mmm_)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_(#,##0_);\(#,##0\);_("–"_);_(@_)</c:formatCode>
              <c:ptCount val="12"/>
              <c:pt idx="0">
                <c:v>1350</c:v>
              </c:pt>
              <c:pt idx="1">
                <c:v>1250</c:v>
              </c:pt>
              <c:pt idx="2">
                <c:v>1350</c:v>
              </c:pt>
              <c:pt idx="3">
                <c:v>1400</c:v>
              </c:pt>
              <c:pt idx="4">
                <c:v>1525</c:v>
              </c:pt>
              <c:pt idx="5">
                <c:v>1650</c:v>
              </c:pt>
              <c:pt idx="6">
                <c:v>1700</c:v>
              </c:pt>
              <c:pt idx="7">
                <c:v>1680</c:v>
              </c:pt>
              <c:pt idx="8">
                <c:v>1590</c:v>
              </c:pt>
              <c:pt idx="9">
                <c:v>1550</c:v>
              </c:pt>
              <c:pt idx="10">
                <c:v>1525</c:v>
              </c:pt>
              <c:pt idx="11">
                <c:v>1440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3D-200F-4B2E-94A1-DD5DC4466EF1}"/>
            </c:ext>
          </c:extLst>
        </c:ser>
        <c:ser>
          <c:idx val="6"/>
          <c:order val="6"/>
          <c:tx>
            <c:v>Budget</c:v>
          </c:tx>
          <c:spPr>
            <a:ln w="28575" cap="rnd" cmpd="sng" algn="ctr">
              <a:solidFill>
                <a:srgbClr val="FA621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FA621C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00F-4B2E-94A1-DD5DC4466EF1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00F-4B2E-94A1-DD5DC4466EF1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00F-4B2E-94A1-DD5DC4466EF1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00F-4B2E-94A1-DD5DC4466EF1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200F-4B2E-94A1-DD5DC4466EF1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200F-4B2E-94A1-DD5DC4466EF1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200F-4B2E-94A1-DD5DC4466EF1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200F-4B2E-94A1-DD5DC4466EF1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200F-4B2E-94A1-DD5DC4466EF1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200F-4B2E-94A1-DD5DC4466EF1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6F-4DA9-B697-217A403EAE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A621C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mmm_)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_(#,##0_);\(#,##0\);_("–"_);_(@_)</c:formatCode>
              <c:ptCount val="12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49-200F-4B2E-94A1-DD5DC4466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35552"/>
        <c:axId val="106566016"/>
      </c:lineChart>
      <c:dateAx>
        <c:axId val="106535552"/>
        <c:scaling>
          <c:orientation val="minMax"/>
        </c:scaling>
        <c:delete val="0"/>
        <c:axPos val="b"/>
        <c:numFmt formatCode="mmm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6566016"/>
        <c:crosses val="autoZero"/>
        <c:auto val="1"/>
        <c:lblOffset val="100"/>
        <c:baseTimeUnit val="months"/>
      </c:dateAx>
      <c:valAx>
        <c:axId val="106566016"/>
        <c:scaling>
          <c:orientation val="minMax"/>
          <c:max val="18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#,##0_);\(#,##0\);_(&quot;–&quot;_);_(@_)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6535552"/>
        <c:crosses val="autoZero"/>
        <c:crossBetween val="between"/>
        <c:majorUnit val="200"/>
        <c:minorUnit val="40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70343797576872E-3"/>
          <c:y val="6.0367454068241465E-4"/>
          <c:w val="0.96529898960644833"/>
          <c:h val="0.78645436351853137"/>
        </c:manualLayout>
      </c:layout>
      <c:lineChart>
        <c:grouping val="standard"/>
        <c:varyColors val="0"/>
        <c:ser>
          <c:idx val="1"/>
          <c:order val="0"/>
          <c:tx>
            <c:v>Forecast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74-4A6F-83BE-8D34F5E74495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A74-4A6F-83BE-8D34F5E7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17856"/>
        <c:axId val="106623744"/>
      </c:lineChart>
      <c:catAx>
        <c:axId val="106617856"/>
        <c:scaling>
          <c:orientation val="minMax"/>
        </c:scaling>
        <c:delete val="1"/>
        <c:axPos val="b"/>
        <c:numFmt formatCode="mmm_)" sourceLinked="1"/>
        <c:majorTickMark val="out"/>
        <c:minorTickMark val="none"/>
        <c:tickLblPos val="nextTo"/>
        <c:crossAx val="106623744"/>
        <c:crosses val="autoZero"/>
        <c:auto val="1"/>
        <c:lblAlgn val="ctr"/>
        <c:lblOffset val="100"/>
        <c:noMultiLvlLbl val="1"/>
      </c:catAx>
      <c:valAx>
        <c:axId val="106623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6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20997375328103E-3"/>
          <c:w val="0.15661131331338715"/>
          <c:h val="0.60165774278215223"/>
        </c:manualLayout>
      </c:layout>
      <c:overlay val="0"/>
      <c:spPr>
        <a:noFill/>
        <a:ln>
          <a:solidFill>
            <a:srgbClr val="BFBFBF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00536189561825E-2"/>
          <c:y val="3.2744227064645783E-2"/>
          <c:w val="0.80419497780868965"/>
          <c:h val="0.89587864736073886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27-4C32-8BF8-8CA4B12F3CD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27-4C32-8BF8-8CA4B12F3CD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27-4C32-8BF8-8CA4B12F3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421.61431742508324</c:v>
              </c:pt>
              <c:pt idx="1">
                <c:v>436.73959620931186</c:v>
              </c:pt>
              <c:pt idx="2">
                <c:v>434.71087533156498</c:v>
              </c:pt>
              <c:pt idx="3">
                <c:v>434.93722510995605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437-4942-8FDB-5D465A79CE57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727477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27-4C32-8BF8-8CA4B12F3CD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27-4C32-8BF8-8CA4B12F3CD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27-4C32-8BF8-8CA4B12F3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435.83544303797458</c:v>
              </c:pt>
              <c:pt idx="1">
                <c:v>448.53606172425361</c:v>
              </c:pt>
              <c:pt idx="2">
                <c:v>450.94860335195534</c:v>
              </c:pt>
              <c:pt idx="3">
                <c:v>450.60118655240603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437-4942-8FDB-5D465A79CE57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0000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27-4C32-8BF8-8CA4B12F3CD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27-4C32-8BF8-8CA4B12F3CD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27-4C32-8BF8-8CA4B12F3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450.95241309483629</c:v>
              </c:pt>
              <c:pt idx="1">
                <c:v>464.17204884667569</c:v>
              </c:pt>
              <c:pt idx="2">
                <c:v>464.73775894538608</c:v>
              </c:pt>
              <c:pt idx="3">
                <c:v>464.3925965955147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437-4942-8FDB-5D465A79CE57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465</c:v>
              </c:pt>
              <c:pt idx="1">
                <c:v>480</c:v>
              </c:pt>
              <c:pt idx="2">
                <c:v>480</c:v>
              </c:pt>
              <c:pt idx="3">
                <c:v>480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437-4942-8FDB-5D465A79CE57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27-4C32-8BF8-8CA4B12F3CD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27-4C32-8BF8-8CA4B12F3CD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27-4C32-8BF8-8CA4B12F3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465</c:v>
              </c:pt>
              <c:pt idx="1">
                <c:v>480</c:v>
              </c:pt>
              <c:pt idx="2">
                <c:v>480</c:v>
              </c:pt>
              <c:pt idx="3">
                <c:v>480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9437-4942-8FDB-5D465A79CE57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27-4C32-8BF8-8CA4B12F3CD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27-4C32-8BF8-8CA4B12F3CD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C27-4C32-8BF8-8CA4B12F3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480</c:v>
              </c:pt>
              <c:pt idx="1">
                <c:v>495</c:v>
              </c:pt>
              <c:pt idx="2">
                <c:v>494.99999999999994</c:v>
              </c:pt>
              <c:pt idx="3">
                <c:v>495.00000000000006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5-9437-4942-8FDB-5D465A79CE57}"/>
            </c:ext>
          </c:extLst>
        </c:ser>
        <c:ser>
          <c:idx val="6"/>
          <c:order val="6"/>
          <c:tx>
            <c:v>Budget</c:v>
          </c:tx>
          <c:spPr>
            <a:ln w="28575" cap="rnd">
              <a:solidFill>
                <a:srgbClr val="FA621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FA621C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A621C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27-4C32-8BF8-8CA4B12F3CD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C27-4C32-8BF8-8CA4B12F3CD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C27-4C32-8BF8-8CA4B12F3C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9-9437-4942-8FDB-5D465A79C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91200"/>
        <c:axId val="106852736"/>
      </c:lineChart>
      <c:catAx>
        <c:axId val="10669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6852736"/>
        <c:crosses val="autoZero"/>
        <c:auto val="1"/>
        <c:lblAlgn val="ctr"/>
        <c:lblOffset val="100"/>
        <c:noMultiLvlLbl val="0"/>
      </c:catAx>
      <c:valAx>
        <c:axId val="106852736"/>
        <c:scaling>
          <c:orientation val="minMax"/>
          <c:max val="500"/>
          <c:min val="4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6691200"/>
        <c:crosses val="autoZero"/>
        <c:crossBetween val="between"/>
        <c:majorUnit val="10"/>
        <c:minorUnit val="5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097451528236395E-4"/>
          <c:y val="0.11250335292040094"/>
          <c:w val="0.99784946236559136"/>
          <c:h val="0.77589923725061105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37-4F07-8334-8FA01610B91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37-4F07-8334-8FA01610B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_(#,##0_);\(#,##0\);_("–"_);_(@_)</c:formatCode>
              <c:ptCount val="2"/>
              <c:pt idx="0">
                <c:v>432.85265750051303</c:v>
              </c:pt>
              <c:pt idx="1">
                <c:v>432.85265750051303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F0A-46FF-B2DC-5323DB0E4CF1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72747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37-4F07-8334-8FA01610B91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37-4F07-8334-8FA01610B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_(#,##0_);\(#,##0\);_("–"_);_(@_)</c:formatCode>
              <c:ptCount val="2"/>
              <c:pt idx="0">
                <c:v>447.26585875470118</c:v>
              </c:pt>
              <c:pt idx="1">
                <c:v>447.26585875470118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5F0A-46FF-B2DC-5323DB0E4CF1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37-4F07-8334-8FA01610B91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37-4F07-8334-8FA01610B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_(#,##0_);\(#,##0\);_("–"_);_(@_)</c:formatCode>
              <c:ptCount val="2"/>
              <c:pt idx="0">
                <c:v>461.70918681920944</c:v>
              </c:pt>
              <c:pt idx="1">
                <c:v>461.70918681920944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5F0A-46FF-B2DC-5323DB0E4CF1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val>
            <c:numLit>
              <c:formatCode>_(#,##0_);\(#,##0\);_("–"_);_(@_)</c:formatCode>
              <c:ptCount val="2"/>
              <c:pt idx="0">
                <c:v>476.859375</c:v>
              </c:pt>
              <c:pt idx="1">
                <c:v>476.859375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5F0A-46FF-B2DC-5323DB0E4CF1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AFC8EE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37-4F07-8334-8FA01610B91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37-4F07-8334-8FA01610B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_(#,##0_);\(#,##0\);_("–"_);_(@_)</c:formatCode>
              <c:ptCount val="2"/>
              <c:pt idx="0">
                <c:v>476.859375</c:v>
              </c:pt>
              <c:pt idx="1">
                <c:v>476.859375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5F0A-46FF-B2DC-5323DB0E4CF1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37-4F07-8334-8FA01610B91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37-4F07-8334-8FA01610B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_(#,##0_);\(#,##0\);_("–"_);_(@_)</c:formatCode>
              <c:ptCount val="2"/>
              <c:pt idx="0">
                <c:v>491.71016102165464</c:v>
              </c:pt>
              <c:pt idx="1">
                <c:v>491.71016102165464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5F0A-46FF-B2DC-5323DB0E4CF1}"/>
            </c:ext>
          </c:extLst>
        </c:ser>
        <c:ser>
          <c:idx val="6"/>
          <c:order val="6"/>
          <c:tx>
            <c:v>Budget</c:v>
          </c:tx>
          <c:spPr>
            <a:ln w="28575" cap="rnd">
              <a:solidFill>
                <a:srgbClr val="FA621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FA621C"/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A621C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37-4F07-8334-8FA01610B91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A621C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37-4F07-8334-8FA01610B9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_(#,##0_);\(#,##0\);_("–"_);_(@_)</c:formatCode>
              <c:ptCount val="2"/>
              <c:pt idx="0">
                <c:v>#N/A</c:v>
              </c:pt>
              <c:pt idx="1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4-5F0A-46FF-B2DC-5323DB0E4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29152"/>
        <c:axId val="106955520"/>
      </c:lineChart>
      <c:catAx>
        <c:axId val="106929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955520"/>
        <c:crosses val="autoZero"/>
        <c:auto val="1"/>
        <c:lblAlgn val="ctr"/>
        <c:lblOffset val="100"/>
        <c:noMultiLvlLbl val="0"/>
      </c:catAx>
      <c:valAx>
        <c:axId val="106955520"/>
        <c:scaling>
          <c:orientation val="minMax"/>
          <c:max val="495"/>
          <c:min val="430"/>
        </c:scaling>
        <c:delete val="1"/>
        <c:axPos val="l"/>
        <c:numFmt formatCode="_(#,##0_);\(#,##0\);_(&quot;–&quot;_);_(@_)" sourceLinked="1"/>
        <c:majorTickMark val="out"/>
        <c:minorTickMark val="none"/>
        <c:tickLblPos val="nextTo"/>
        <c:crossAx val="106929152"/>
        <c:crosses val="autoZero"/>
        <c:crossBetween val="between"/>
      </c:valAx>
      <c:spPr>
        <a:noFill/>
        <a:ln w="9525">
          <a:noFill/>
          <a:prstDash val="dash"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44658294680356E-2"/>
          <c:y val="3.274421379145788E-2"/>
          <c:w val="0.80659007155447215"/>
          <c:h val="0.89815628728227137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4A-42E9-8242-ED747CDF20DA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4A-42E9-8242-ED747CDF20DA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4A-42E9-8242-ED747CDF20DA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4A-42E9-8242-ED747CDF20DA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4A-42E9-8242-ED747CDF20DA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4A-42E9-8242-ED747CDF20DA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C4A-42E9-8242-ED747CDF20DA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C4A-42E9-8242-ED747CDF20DA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C4A-42E9-8242-ED747CDF20DA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C4A-42E9-8242-ED747CDF20DA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4A-42E9-8242-ED747CDF2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421</c:v>
              </c:pt>
              <c:pt idx="1">
                <c:v>422</c:v>
              </c:pt>
              <c:pt idx="2">
                <c:v>422</c:v>
              </c:pt>
              <c:pt idx="3">
                <c:v>436</c:v>
              </c:pt>
              <c:pt idx="4">
                <c:v>437</c:v>
              </c:pt>
              <c:pt idx="5">
                <c:v>437</c:v>
              </c:pt>
              <c:pt idx="6">
                <c:v>436</c:v>
              </c:pt>
              <c:pt idx="7">
                <c:v>434</c:v>
              </c:pt>
              <c:pt idx="8">
                <c:v>434</c:v>
              </c:pt>
              <c:pt idx="9">
                <c:v>436</c:v>
              </c:pt>
              <c:pt idx="10">
                <c:v>433</c:v>
              </c:pt>
              <c:pt idx="11">
                <c:v>436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CA11-4939-AB74-CDDF2844149D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727477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C4A-42E9-8242-ED747CDF20DA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C4A-42E9-8242-ED747CDF20DA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C4A-42E9-8242-ED747CDF20DA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C4A-42E9-8242-ED747CDF20DA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C4A-42E9-8242-ED747CDF20DA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C4A-42E9-8242-ED747CDF20DA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C4A-42E9-8242-ED747CDF20DA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C4A-42E9-8242-ED747CDF20DA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C4A-42E9-8242-ED747CDF20DA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C4A-42E9-8242-ED747CDF20DA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4A-42E9-8242-ED747CDF2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434</c:v>
              </c:pt>
              <c:pt idx="1">
                <c:v>437</c:v>
              </c:pt>
              <c:pt idx="2">
                <c:v>437</c:v>
              </c:pt>
              <c:pt idx="3">
                <c:v>450</c:v>
              </c:pt>
              <c:pt idx="4">
                <c:v>448</c:v>
              </c:pt>
              <c:pt idx="5">
                <c:v>448</c:v>
              </c:pt>
              <c:pt idx="6">
                <c:v>451</c:v>
              </c:pt>
              <c:pt idx="7">
                <c:v>450</c:v>
              </c:pt>
              <c:pt idx="8">
                <c:v>452</c:v>
              </c:pt>
              <c:pt idx="9">
                <c:v>450</c:v>
              </c:pt>
              <c:pt idx="10">
                <c:v>450</c:v>
              </c:pt>
              <c:pt idx="11">
                <c:v>452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7-CA11-4939-AB74-CDDF2844149D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0000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C4A-42E9-8242-ED747CDF20DA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C4A-42E9-8242-ED747CDF20DA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C4A-42E9-8242-ED747CDF20DA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C4A-42E9-8242-ED747CDF20DA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C4A-42E9-8242-ED747CDF20DA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C4A-42E9-8242-ED747CDF20DA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C4A-42E9-8242-ED747CDF20DA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C4A-42E9-8242-ED747CDF20DA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C4A-42E9-8242-ED747CDF20DA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C4A-42E9-8242-ED747CDF20DA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C4A-42E9-8242-ED747CDF2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450</c:v>
              </c:pt>
              <c:pt idx="1">
                <c:v>452</c:v>
              </c:pt>
              <c:pt idx="2">
                <c:v>451</c:v>
              </c:pt>
              <c:pt idx="3">
                <c:v>466</c:v>
              </c:pt>
              <c:pt idx="4">
                <c:v>464</c:v>
              </c:pt>
              <c:pt idx="5">
                <c:v>463</c:v>
              </c:pt>
              <c:pt idx="6">
                <c:v>464</c:v>
              </c:pt>
              <c:pt idx="7">
                <c:v>467</c:v>
              </c:pt>
              <c:pt idx="8">
                <c:v>463</c:v>
              </c:pt>
              <c:pt idx="9">
                <c:v>465</c:v>
              </c:pt>
              <c:pt idx="10">
                <c:v>465</c:v>
              </c:pt>
              <c:pt idx="11">
                <c:v>463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3-CA11-4939-AB74-CDDF2844149D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465</c:v>
              </c:pt>
              <c:pt idx="1">
                <c:v>465</c:v>
              </c:pt>
              <c:pt idx="2">
                <c:v>465</c:v>
              </c:pt>
              <c:pt idx="3">
                <c:v>480</c:v>
              </c:pt>
              <c:pt idx="4">
                <c:v>480</c:v>
              </c:pt>
              <c:pt idx="5">
                <c:v>480</c:v>
              </c:pt>
              <c:pt idx="6">
                <c:v>480</c:v>
              </c:pt>
              <c:pt idx="7">
                <c:v>480</c:v>
              </c:pt>
              <c:pt idx="8">
                <c:v>480</c:v>
              </c:pt>
              <c:pt idx="9">
                <c:v>480</c:v>
              </c:pt>
              <c:pt idx="10">
                <c:v>480</c:v>
              </c:pt>
              <c:pt idx="11">
                <c:v>480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24-CA11-4939-AB74-CDDF2844149D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C4A-42E9-8242-ED747CDF20DA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C4A-42E9-8242-ED747CDF20DA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C4A-42E9-8242-ED747CDF20DA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C4A-42E9-8242-ED747CDF20DA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C4A-42E9-8242-ED747CDF20DA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C4A-42E9-8242-ED747CDF20DA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C4A-42E9-8242-ED747CDF20DA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C4A-42E9-8242-ED747CDF20DA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C4A-42E9-8242-ED747CDF20DA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C4A-42E9-8242-ED747CDF20DA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C4A-42E9-8242-ED747CDF2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465</c:v>
              </c:pt>
              <c:pt idx="1">
                <c:v>465</c:v>
              </c:pt>
              <c:pt idx="2">
                <c:v>465</c:v>
              </c:pt>
              <c:pt idx="3">
                <c:v>480</c:v>
              </c:pt>
              <c:pt idx="4">
                <c:v>480</c:v>
              </c:pt>
              <c:pt idx="5">
                <c:v>480</c:v>
              </c:pt>
              <c:pt idx="6">
                <c:v>480</c:v>
              </c:pt>
              <c:pt idx="7">
                <c:v>480</c:v>
              </c:pt>
              <c:pt idx="8">
                <c:v>480</c:v>
              </c:pt>
              <c:pt idx="9">
                <c:v>480</c:v>
              </c:pt>
              <c:pt idx="10">
                <c:v>480</c:v>
              </c:pt>
              <c:pt idx="11">
                <c:v>480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31-CA11-4939-AB74-CDDF2844149D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C4A-42E9-8242-ED747CDF20DA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C4A-42E9-8242-ED747CDF20DA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C4A-42E9-8242-ED747CDF20DA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C4A-42E9-8242-ED747CDF20DA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C4A-42E9-8242-ED747CDF20DA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C4A-42E9-8242-ED747CDF20DA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CC4A-42E9-8242-ED747CDF20DA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CC4A-42E9-8242-ED747CDF20DA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CC4A-42E9-8242-ED747CDF20DA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CC4A-42E9-8242-ED747CDF20DA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CC4A-42E9-8242-ED747CDF2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480</c:v>
              </c:pt>
              <c:pt idx="1">
                <c:v>480</c:v>
              </c:pt>
              <c:pt idx="2">
                <c:v>480</c:v>
              </c:pt>
              <c:pt idx="3">
                <c:v>495</c:v>
              </c:pt>
              <c:pt idx="4">
                <c:v>495</c:v>
              </c:pt>
              <c:pt idx="5">
                <c:v>495</c:v>
              </c:pt>
              <c:pt idx="6">
                <c:v>495</c:v>
              </c:pt>
              <c:pt idx="7">
                <c:v>495</c:v>
              </c:pt>
              <c:pt idx="8">
                <c:v>495</c:v>
              </c:pt>
              <c:pt idx="9">
                <c:v>495</c:v>
              </c:pt>
              <c:pt idx="10">
                <c:v>495</c:v>
              </c:pt>
              <c:pt idx="11">
                <c:v>495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3D-CA11-4939-AB74-CDDF2844149D}"/>
            </c:ext>
          </c:extLst>
        </c:ser>
        <c:ser>
          <c:idx val="6"/>
          <c:order val="6"/>
          <c:tx>
            <c:v>Budget</c:v>
          </c:tx>
          <c:spPr>
            <a:ln w="28575" cap="rnd">
              <a:solidFill>
                <a:srgbClr val="FA621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FA621C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A621C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CC4A-42E9-8242-ED747CDF20DA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CC4A-42E9-8242-ED747CDF20DA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CC4A-42E9-8242-ED747CDF20DA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CC4A-42E9-8242-ED747CDF20DA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CC4A-42E9-8242-ED747CDF20DA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CC4A-42E9-8242-ED747CDF20DA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CC4A-42E9-8242-ED747CDF20DA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CC4A-42E9-8242-ED747CDF20DA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CC4A-42E9-8242-ED747CDF20DA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CC4A-42E9-8242-ED747CDF20DA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CC4A-42E9-8242-ED747CDF2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49-CA11-4939-AB74-CDDF28441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76544"/>
        <c:axId val="109384832"/>
      </c:lineChart>
      <c:catAx>
        <c:axId val="10927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9384832"/>
        <c:crosses val="autoZero"/>
        <c:auto val="1"/>
        <c:lblAlgn val="ctr"/>
        <c:lblOffset val="100"/>
        <c:noMultiLvlLbl val="1"/>
      </c:catAx>
      <c:valAx>
        <c:axId val="109384832"/>
        <c:scaling>
          <c:orientation val="minMax"/>
          <c:max val="500"/>
          <c:min val="4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9276544"/>
        <c:crosses val="autoZero"/>
        <c:crossBetween val="between"/>
        <c:majorUnit val="10"/>
        <c:minorUnit val="2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70343797576872E-3"/>
          <c:y val="6.0367454068241465E-4"/>
          <c:w val="0.96529898960644833"/>
          <c:h val="0.78645436351853137"/>
        </c:manualLayout>
      </c:layout>
      <c:lineChart>
        <c:grouping val="standard"/>
        <c:varyColors val="0"/>
        <c:ser>
          <c:idx val="1"/>
          <c:order val="0"/>
          <c:tx>
            <c:v>Forecast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1B3-4977-860D-EBF7490A36B0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1B3-4977-860D-EBF7490A3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18752"/>
        <c:axId val="109424640"/>
      </c:lineChart>
      <c:catAx>
        <c:axId val="109418752"/>
        <c:scaling>
          <c:orientation val="minMax"/>
        </c:scaling>
        <c:delete val="1"/>
        <c:axPos val="b"/>
        <c:numFmt formatCode="mmm_)" sourceLinked="1"/>
        <c:majorTickMark val="out"/>
        <c:minorTickMark val="none"/>
        <c:tickLblPos val="nextTo"/>
        <c:crossAx val="109424640"/>
        <c:crosses val="autoZero"/>
        <c:auto val="1"/>
        <c:lblAlgn val="ctr"/>
        <c:lblOffset val="100"/>
        <c:noMultiLvlLbl val="1"/>
      </c:catAx>
      <c:valAx>
        <c:axId val="109424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41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20997375328103E-3"/>
          <c:w val="0.15661131331338715"/>
          <c:h val="0.60165774278215223"/>
        </c:manualLayout>
      </c:layout>
      <c:overlay val="0"/>
      <c:spPr>
        <a:noFill/>
        <a:ln>
          <a:solidFill>
            <a:srgbClr val="BFBFBF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827420968768978E-2"/>
          <c:y val="3.2744227064645783E-2"/>
          <c:w val="0.77814767755433811"/>
          <c:h val="0.89587864736073886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E3-42C9-AD85-DDAA150BD107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E3-42C9-AD85-DDAA150BD107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E3-42C9-AD85-DDAA150BD1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759.74900000000002</c:v>
              </c:pt>
              <c:pt idx="1">
                <c:v>1059.9669999999999</c:v>
              </c:pt>
              <c:pt idx="2">
                <c:v>1311.088</c:v>
              </c:pt>
              <c:pt idx="3">
                <c:v>1087.778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9B3-4358-A730-BA49FC5F6996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727477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E3-42C9-AD85-DDAA150BD107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E3-42C9-AD85-DDAA150BD107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E3-42C9-AD85-DDAA150BD1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1032.9299999999998</c:v>
              </c:pt>
              <c:pt idx="1">
                <c:v>1337.086</c:v>
              </c:pt>
              <c:pt idx="2">
                <c:v>1614.3960000000002</c:v>
              </c:pt>
              <c:pt idx="3">
                <c:v>1367.124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9B3-4358-A730-BA49FC5F6996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0000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E3-42C9-AD85-DDAA150BD107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E3-42C9-AD85-DDAA150BD107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E3-42C9-AD85-DDAA150BD1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1336.172</c:v>
              </c:pt>
              <c:pt idx="1">
                <c:v>1710.4739999999999</c:v>
              </c:pt>
              <c:pt idx="2">
                <c:v>1974.2060000000001</c:v>
              </c:pt>
              <c:pt idx="3">
                <c:v>1718.7169999999999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9B3-4358-A730-BA49FC5F6996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1557.75</c:v>
              </c:pt>
              <c:pt idx="1">
                <c:v>1944</c:v>
              </c:pt>
              <c:pt idx="2">
                <c:v>2184</c:v>
              </c:pt>
              <c:pt idx="3">
                <c:v>1944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9B3-4358-A730-BA49FC5F6996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E3-42C9-AD85-DDAA150BD107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E3-42C9-AD85-DDAA150BD107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E3-42C9-AD85-DDAA150BD1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1557.75</c:v>
              </c:pt>
              <c:pt idx="1">
                <c:v>1944</c:v>
              </c:pt>
              <c:pt idx="2">
                <c:v>2184</c:v>
              </c:pt>
              <c:pt idx="3">
                <c:v>1944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9B3-4358-A730-BA49FC5F6996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E3-42C9-AD85-DDAA150BD107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DE3-42C9-AD85-DDAA150BD107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E3-42C9-AD85-DDAA150BD1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1896</c:v>
              </c:pt>
              <c:pt idx="1">
                <c:v>2264.625</c:v>
              </c:pt>
              <c:pt idx="2">
                <c:v>2460.1499999999996</c:v>
              </c:pt>
              <c:pt idx="3">
                <c:v>2234.9250000000002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9B3-4358-A730-BA49FC5F6996}"/>
            </c:ext>
          </c:extLst>
        </c:ser>
        <c:ser>
          <c:idx val="6"/>
          <c:order val="6"/>
          <c:tx>
            <c:v>Budget</c:v>
          </c:tx>
          <c:spPr>
            <a:ln w="28575" cap="rnd">
              <a:solidFill>
                <a:srgbClr val="FA621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FA621C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A621C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E3-42C9-AD85-DDAA150BD107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E3-42C9-AD85-DDAA150BD107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DE3-42C9-AD85-DDAA150BD1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9B3-4358-A730-BA49FC5F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69856"/>
        <c:axId val="109771392"/>
      </c:lineChart>
      <c:catAx>
        <c:axId val="1097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9771392"/>
        <c:crosses val="autoZero"/>
        <c:auto val="1"/>
        <c:lblAlgn val="ctr"/>
        <c:lblOffset val="100"/>
        <c:noMultiLvlLbl val="0"/>
      </c:catAx>
      <c:valAx>
        <c:axId val="109771392"/>
        <c:scaling>
          <c:orientation val="minMax"/>
          <c:max val="26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#,##0_);\(#,##0\);_(&quot;–&quot;_);_(@_)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09769856"/>
        <c:crosses val="autoZero"/>
        <c:crossBetween val="between"/>
        <c:majorUnit val="300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021537660371474E-4"/>
          <c:y val="0.11250357754528148"/>
          <c:w val="0.9986464304552477"/>
          <c:h val="0.77833643008681508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FD-47D6-8B08-49DDA502E5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FD-47D6-8B08-49DDA502E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2"/>
              <c:pt idx="0">
                <c:v>4218.5820000000003</c:v>
              </c:pt>
              <c:pt idx="1">
                <c:v>4218.5820000000003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BB1-4392-A695-90D4B9997AEB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727477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FD-47D6-8B08-49DDA502E5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FD-47D6-8B08-49DDA502E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2"/>
              <c:pt idx="0">
                <c:v>5351.5360000000001</c:v>
              </c:pt>
              <c:pt idx="1">
                <c:v>5351.5360000000001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BB1-4392-A695-90D4B9997AEB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FD-47D6-8B08-49DDA502E5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FD-47D6-8B08-49DDA502E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2"/>
              <c:pt idx="0">
                <c:v>6739.5689999999995</c:v>
              </c:pt>
              <c:pt idx="1">
                <c:v>6739.5689999999995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BB1-4392-A695-90D4B9997AEB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2"/>
              <c:pt idx="0">
                <c:v>7629.75</c:v>
              </c:pt>
              <c:pt idx="1">
                <c:v>7629.75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BB1-4392-A695-90D4B9997AEB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AFC8EE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FD-47D6-8B08-49DDA502E5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FD-47D6-8B08-49DDA502E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2"/>
              <c:pt idx="0">
                <c:v>7629.75</c:v>
              </c:pt>
              <c:pt idx="1">
                <c:v>7629.75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ABB1-4392-A695-90D4B9997AEB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FD-47D6-8B08-49DDA502E5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FD-47D6-8B08-49DDA502E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2"/>
              <c:pt idx="0">
                <c:v>8855.7000000000007</c:v>
              </c:pt>
              <c:pt idx="1">
                <c:v>8855.7000000000007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ABB1-4392-A695-90D4B9997AEB}"/>
            </c:ext>
          </c:extLst>
        </c:ser>
        <c:ser>
          <c:idx val="6"/>
          <c:order val="6"/>
          <c:tx>
            <c:v>Budget</c:v>
          </c:tx>
          <c:spPr>
            <a:ln w="28575" cap="rnd">
              <a:solidFill>
                <a:srgbClr val="FA621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 cap="rnd" cmpd="sng" algn="ctr">
                <a:solidFill>
                  <a:srgbClr val="FA621C"/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FD-47D6-8B08-49DDA502E5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5FD-47D6-8B08-49DDA502E5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A621C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ABB1-4392-A695-90D4B9997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52768"/>
        <c:axId val="109554304"/>
      </c:lineChart>
      <c:catAx>
        <c:axId val="109552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554304"/>
        <c:crosses val="autoZero"/>
        <c:auto val="1"/>
        <c:lblAlgn val="ctr"/>
        <c:lblOffset val="100"/>
        <c:noMultiLvlLbl val="0"/>
      </c:catAx>
      <c:valAx>
        <c:axId val="109554304"/>
        <c:scaling>
          <c:orientation val="minMax"/>
          <c:max val="8900"/>
          <c:min val="4200"/>
        </c:scaling>
        <c:delete val="1"/>
        <c:axPos val="l"/>
        <c:numFmt formatCode="General" sourceLinked="1"/>
        <c:majorTickMark val="out"/>
        <c:minorTickMark val="none"/>
        <c:tickLblPos val="nextTo"/>
        <c:crossAx val="109552768"/>
        <c:crosses val="autoZero"/>
        <c:crossBetween val="between"/>
      </c:valAx>
      <c:spPr>
        <a:noFill/>
        <a:ln w="9525">
          <a:noFill/>
          <a:prstDash val="dash"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44658294680356E-2"/>
          <c:y val="3.274421379145788E-2"/>
          <c:w val="0.80659007155447215"/>
          <c:h val="0.89815628728227137"/>
        </c:manualLayout>
      </c:layout>
      <c:lineChart>
        <c:grouping val="standard"/>
        <c:varyColors val="0"/>
        <c:ser>
          <c:idx val="1"/>
          <c:order val="0"/>
          <c:tx>
            <c:v>2022</c:v>
          </c:tx>
          <c:spPr>
            <a:ln w="28575" cap="rnd">
              <a:solidFill>
                <a:srgbClr val="BFBFB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E-40A1-AF45-1829CD3033B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8E-40A1-AF45-1829CD3033B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8E-40A1-AF45-1829CD3033B0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8E-40A1-AF45-1829CD3033B0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8E-40A1-AF45-1829CD3033B0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8E-40A1-AF45-1829CD3033B0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8E-40A1-AF45-1829CD3033B0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8E-40A1-AF45-1829CD3033B0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8E-40A1-AF45-1829CD3033B0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8E-40A1-AF45-1829CD3033B0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8E-40A1-AF45-1829CD303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BFBFBF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292.59500000000003</c:v>
              </c:pt>
              <c:pt idx="1">
                <c:v>251.512</c:v>
              </c:pt>
              <c:pt idx="2">
                <c:v>215.642</c:v>
              </c:pt>
              <c:pt idx="3">
                <c:v>275.55200000000002</c:v>
              </c:pt>
              <c:pt idx="4">
                <c:v>337.36399999999998</c:v>
              </c:pt>
              <c:pt idx="5">
                <c:v>447.05099999999999</c:v>
              </c:pt>
              <c:pt idx="6">
                <c:v>467.392</c:v>
              </c:pt>
              <c:pt idx="7">
                <c:v>458.30399999999997</c:v>
              </c:pt>
              <c:pt idx="8">
                <c:v>385.392</c:v>
              </c:pt>
              <c:pt idx="9">
                <c:v>389.78399999999999</c:v>
              </c:pt>
              <c:pt idx="10">
                <c:v>383.63799999999998</c:v>
              </c:pt>
              <c:pt idx="11">
                <c:v>314.35599999999999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C5C-4E29-9489-B336C4BE1AC5}"/>
            </c:ext>
          </c:extLst>
        </c:ser>
        <c:ser>
          <c:idx val="0"/>
          <c:order val="1"/>
          <c:tx>
            <c:v>2023</c:v>
          </c:tx>
          <c:spPr>
            <a:ln w="28575" cap="rnd">
              <a:solidFill>
                <a:srgbClr val="72747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727477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8E-40A1-AF45-1829CD3033B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E8E-40A1-AF45-1829CD3033B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E8E-40A1-AF45-1829CD3033B0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E8E-40A1-AF45-1829CD3033B0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E8E-40A1-AF45-1829CD3033B0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E8E-40A1-AF45-1829CD3033B0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E8E-40A1-AF45-1829CD3033B0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E8E-40A1-AF45-1829CD3033B0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E8E-40A1-AF45-1829CD3033B0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E8E-40A1-AF45-1829CD3033B0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E8E-40A1-AF45-1829CD303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27477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399.28</c:v>
              </c:pt>
              <c:pt idx="1">
                <c:v>322.50599999999997</c:v>
              </c:pt>
              <c:pt idx="2">
                <c:v>311.14400000000001</c:v>
              </c:pt>
              <c:pt idx="3">
                <c:v>359.55</c:v>
              </c:pt>
              <c:pt idx="4">
                <c:v>446.65600000000001</c:v>
              </c:pt>
              <c:pt idx="5">
                <c:v>530.88</c:v>
              </c:pt>
              <c:pt idx="6">
                <c:v>554.73</c:v>
              </c:pt>
              <c:pt idx="7">
                <c:v>570.15</c:v>
              </c:pt>
              <c:pt idx="8">
                <c:v>489.51600000000002</c:v>
              </c:pt>
              <c:pt idx="9">
                <c:v>484.2</c:v>
              </c:pt>
              <c:pt idx="10">
                <c:v>470.7</c:v>
              </c:pt>
              <c:pt idx="11">
                <c:v>412.22399999999999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C5C-4E29-9489-B336C4BE1AC5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000000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E8E-40A1-AF45-1829CD3033B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E8E-40A1-AF45-1829CD3033B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E8E-40A1-AF45-1829CD3033B0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E8E-40A1-AF45-1829CD3033B0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E8E-40A1-AF45-1829CD3033B0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E8E-40A1-AF45-1829CD3033B0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E8E-40A1-AF45-1829CD3033B0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E8E-40A1-AF45-1829CD3033B0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E8E-40A1-AF45-1829CD3033B0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E8E-40A1-AF45-1829CD3033B0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E8E-40A1-AF45-1829CD303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489.6</c:v>
              </c:pt>
              <c:pt idx="1">
                <c:v>428.04399999999998</c:v>
              </c:pt>
              <c:pt idx="2">
                <c:v>418.52800000000002</c:v>
              </c:pt>
              <c:pt idx="3">
                <c:v>480.44600000000003</c:v>
              </c:pt>
              <c:pt idx="4">
                <c:v>568.86400000000003</c:v>
              </c:pt>
              <c:pt idx="5">
                <c:v>661.16399999999999</c:v>
              </c:pt>
              <c:pt idx="6">
                <c:v>669.08799999999997</c:v>
              </c:pt>
              <c:pt idx="7">
                <c:v>693.495</c:v>
              </c:pt>
              <c:pt idx="8">
                <c:v>611.62300000000005</c:v>
              </c:pt>
              <c:pt idx="9">
                <c:v>610.54499999999996</c:v>
              </c:pt>
              <c:pt idx="10">
                <c:v>587.76</c:v>
              </c:pt>
              <c:pt idx="11">
                <c:v>520.41200000000003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C5C-4E29-9489-B336C4BE1AC5}"/>
            </c:ext>
          </c:extLst>
        </c:ser>
        <c:ser>
          <c:idx val="2"/>
          <c:order val="3"/>
          <c:tx>
            <c:v>2025</c:v>
          </c:tx>
          <c:spPr>
            <a:ln w="28575" cap="rnd">
              <a:solidFill>
                <a:srgbClr val="AFC8EE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558</c:v>
              </c:pt>
              <c:pt idx="1">
                <c:v>497.55</c:v>
              </c:pt>
              <c:pt idx="2">
                <c:v>502.2</c:v>
              </c:pt>
              <c:pt idx="3">
                <c:v>576</c:v>
              </c:pt>
              <c:pt idx="4">
                <c:v>648</c:v>
              </c:pt>
              <c:pt idx="5">
                <c:v>720</c:v>
              </c:pt>
              <c:pt idx="6">
                <c:v>744</c:v>
              </c:pt>
              <c:pt idx="7">
                <c:v>744</c:v>
              </c:pt>
              <c:pt idx="8">
                <c:v>696</c:v>
              </c:pt>
              <c:pt idx="9">
                <c:v>672</c:v>
              </c:pt>
              <c:pt idx="10">
                <c:v>648</c:v>
              </c:pt>
              <c:pt idx="11">
                <c:v>624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C5C-4E29-9489-B336C4BE1AC5}"/>
            </c:ext>
          </c:extLst>
        </c:ser>
        <c:ser>
          <c:idx val="4"/>
          <c:order val="4"/>
          <c:tx>
            <c:v>2025</c:v>
          </c:tx>
          <c:spPr>
            <a:ln w="28575" cap="rnd">
              <a:solidFill>
                <a:srgbClr val="AFC8EE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AFC8EE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E8E-40A1-AF45-1829CD3033B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E8E-40A1-AF45-1829CD3033B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E8E-40A1-AF45-1829CD3033B0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E8E-40A1-AF45-1829CD3033B0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E8E-40A1-AF45-1829CD3033B0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E8E-40A1-AF45-1829CD3033B0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E8E-40A1-AF45-1829CD3033B0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E8E-40A1-AF45-1829CD3033B0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E8E-40A1-AF45-1829CD3033B0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E8E-40A1-AF45-1829CD3033B0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E8E-40A1-AF45-1829CD303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AFC8EE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558</c:v>
              </c:pt>
              <c:pt idx="1">
                <c:v>497.55</c:v>
              </c:pt>
              <c:pt idx="2">
                <c:v>502.2</c:v>
              </c:pt>
              <c:pt idx="3">
                <c:v>576</c:v>
              </c:pt>
              <c:pt idx="4">
                <c:v>648</c:v>
              </c:pt>
              <c:pt idx="5">
                <c:v>720</c:v>
              </c:pt>
              <c:pt idx="6">
                <c:v>744</c:v>
              </c:pt>
              <c:pt idx="7">
                <c:v>744</c:v>
              </c:pt>
              <c:pt idx="8">
                <c:v>696</c:v>
              </c:pt>
              <c:pt idx="9">
                <c:v>672</c:v>
              </c:pt>
              <c:pt idx="10">
                <c:v>648</c:v>
              </c:pt>
              <c:pt idx="11">
                <c:v>624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AC5C-4E29-9489-B336C4BE1AC5}"/>
            </c:ext>
          </c:extLst>
        </c:ser>
        <c:ser>
          <c:idx val="5"/>
          <c:order val="5"/>
          <c:tx>
            <c:v>2026</c:v>
          </c:tx>
          <c:spPr>
            <a:ln w="28575" cap="rnd">
              <a:solidFill>
                <a:srgbClr val="3271D2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3271D2"/>
                </a:solidFill>
              </a:ln>
              <a:effectLst/>
            </c:spPr>
          </c:marker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E8E-40A1-AF45-1829CD3033B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2E8E-40A1-AF45-1829CD3033B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E8E-40A1-AF45-1829CD3033B0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2E8E-40A1-AF45-1829CD3033B0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E8E-40A1-AF45-1829CD3033B0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2E8E-40A1-AF45-1829CD3033B0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2E8E-40A1-AF45-1829CD3033B0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2E8E-40A1-AF45-1829CD3033B0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2E8E-40A1-AF45-1829CD3033B0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2E8E-40A1-AF45-1829CD3033B0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2E8E-40A1-AF45-1829CD303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71D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648</c:v>
              </c:pt>
              <c:pt idx="1">
                <c:v>600</c:v>
              </c:pt>
              <c:pt idx="2">
                <c:v>648</c:v>
              </c:pt>
              <c:pt idx="3">
                <c:v>693</c:v>
              </c:pt>
              <c:pt idx="4">
                <c:v>754.875</c:v>
              </c:pt>
              <c:pt idx="5">
                <c:v>816.75</c:v>
              </c:pt>
              <c:pt idx="6">
                <c:v>841.5</c:v>
              </c:pt>
              <c:pt idx="7">
                <c:v>831.6</c:v>
              </c:pt>
              <c:pt idx="8">
                <c:v>787.05</c:v>
              </c:pt>
              <c:pt idx="9">
                <c:v>767.25</c:v>
              </c:pt>
              <c:pt idx="10">
                <c:v>754.875</c:v>
              </c:pt>
              <c:pt idx="11">
                <c:v>712.8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AC5C-4E29-9489-B336C4BE1AC5}"/>
            </c:ext>
          </c:extLst>
        </c:ser>
        <c:ser>
          <c:idx val="6"/>
          <c:order val="6"/>
          <c:tx>
            <c:v>Budget</c:v>
          </c:tx>
          <c:spPr>
            <a:ln w="28575" cap="rnd">
              <a:solidFill>
                <a:srgbClr val="FA621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FA621C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A621C"/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2E8E-40A1-AF45-1829CD3033B0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2E8E-40A1-AF45-1829CD3033B0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2E8E-40A1-AF45-1829CD3033B0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2E8E-40A1-AF45-1829CD3033B0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2E8E-40A1-AF45-1829CD3033B0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E8E-40A1-AF45-1829CD3033B0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2E8E-40A1-AF45-1829CD3033B0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E8E-40A1-AF45-1829CD3033B0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2E8E-40A1-AF45-1829CD3033B0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E8E-40A1-AF45-1829CD3033B0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2E8E-40A1-AF45-1829CD303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2"/>
              <c:pt idx="0">
                <c:v>45658</c:v>
              </c:pt>
              <c:pt idx="1">
                <c:v>45689</c:v>
              </c:pt>
              <c:pt idx="2">
                <c:v>45717</c:v>
              </c:pt>
              <c:pt idx="3">
                <c:v>45748</c:v>
              </c:pt>
              <c:pt idx="4">
                <c:v>45778</c:v>
              </c:pt>
              <c:pt idx="5">
                <c:v>45809</c:v>
              </c:pt>
              <c:pt idx="6">
                <c:v>45839</c:v>
              </c:pt>
              <c:pt idx="7">
                <c:v>45870</c:v>
              </c:pt>
              <c:pt idx="8">
                <c:v>45901</c:v>
              </c:pt>
              <c:pt idx="9">
                <c:v>45931</c:v>
              </c:pt>
              <c:pt idx="10">
                <c:v>45962</c:v>
              </c:pt>
              <c:pt idx="11">
                <c:v>45992</c:v>
              </c:pt>
            </c:num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AC5C-4E29-9489-B336C4BE1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6096"/>
        <c:axId val="111223552"/>
      </c:lineChart>
      <c:catAx>
        <c:axId val="11251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11223552"/>
        <c:crosses val="autoZero"/>
        <c:auto val="1"/>
        <c:lblAlgn val="ctr"/>
        <c:lblOffset val="100"/>
        <c:noMultiLvlLbl val="1"/>
      </c:catAx>
      <c:valAx>
        <c:axId val="111223552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#,##0_);\(#,##0\);_(&quot;–&quot;_);_(@_)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12516096"/>
        <c:crosses val="autoZero"/>
        <c:crossBetween val="between"/>
      </c:valAx>
      <c:spPr>
        <a:noFill/>
        <a:ln w="25400">
          <a:noFill/>
        </a:ln>
        <a:effectLst/>
      </c:spPr>
    </c:plotArea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70343797576872E-3"/>
          <c:y val="6.0367454068241465E-4"/>
          <c:w val="0.96529898960644833"/>
          <c:h val="0.78645436351853137"/>
        </c:manualLayout>
      </c:layout>
      <c:lineChart>
        <c:grouping val="standard"/>
        <c:varyColors val="0"/>
        <c:ser>
          <c:idx val="1"/>
          <c:order val="0"/>
          <c:tx>
            <c:v>Forecast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DC-4963-B791-42B185D349CB}"/>
            </c:ext>
          </c:extLst>
        </c:ser>
        <c:ser>
          <c:idx val="0"/>
          <c:order val="1"/>
          <c:tx>
            <c:v>Actual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2"/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DC-4963-B791-42B185D34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41088"/>
        <c:axId val="111242624"/>
      </c:lineChart>
      <c:catAx>
        <c:axId val="111241088"/>
        <c:scaling>
          <c:orientation val="minMax"/>
        </c:scaling>
        <c:delete val="1"/>
        <c:axPos val="b"/>
        <c:numFmt formatCode="mmm_)" sourceLinked="1"/>
        <c:majorTickMark val="out"/>
        <c:minorTickMark val="none"/>
        <c:tickLblPos val="nextTo"/>
        <c:crossAx val="111242624"/>
        <c:crosses val="autoZero"/>
        <c:auto val="1"/>
        <c:lblAlgn val="ctr"/>
        <c:lblOffset val="100"/>
        <c:noMultiLvlLbl val="1"/>
      </c:catAx>
      <c:valAx>
        <c:axId val="111242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2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20997375328103E-3"/>
          <c:w val="0.15661131331338715"/>
          <c:h val="0.60165774278215223"/>
        </c:manualLayout>
      </c:layout>
      <c:overlay val="0"/>
      <c:spPr>
        <a:noFill/>
        <a:ln>
          <a:solidFill>
            <a:srgbClr val="BFBFBF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</xdr:colOff>
      <xdr:row>15</xdr:row>
      <xdr:rowOff>0</xdr:rowOff>
    </xdr:from>
    <xdr:to>
      <xdr:col>27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7FD6D55-57DA-4355-BD4E-BD27CE25B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29</xdr:row>
      <xdr:rowOff>186349</xdr:rowOff>
    </xdr:from>
    <xdr:to>
      <xdr:col>7</xdr:col>
      <xdr:colOff>1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B486C17-4FD8-4BFF-A5D2-ABB935DD2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19</xdr:col>
      <xdr:colOff>549086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F0134001-D3B2-4F90-8699-9DF48930A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F62B65C1-6811-4DD4-B2F3-E685E2591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</xdr:colOff>
      <xdr:row>87</xdr:row>
      <xdr:rowOff>0</xdr:rowOff>
    </xdr:from>
    <xdr:to>
      <xdr:col>27</xdr:col>
      <xdr:colOff>0</xdr:colOff>
      <xdr:row>111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15D2ECF-046E-4649-BC0A-DDDEBB68F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101</xdr:row>
      <xdr:rowOff>186349</xdr:rowOff>
    </xdr:from>
    <xdr:to>
      <xdr:col>6</xdr:col>
      <xdr:colOff>575642</xdr:colOff>
      <xdr:row>111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EAA94C2D-8112-4318-A208-6BB308977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87</xdr:row>
      <xdr:rowOff>0</xdr:rowOff>
    </xdr:from>
    <xdr:to>
      <xdr:col>19</xdr:col>
      <xdr:colOff>549086</xdr:colOff>
      <xdr:row>111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8E895A03-11C5-4BC2-B43F-F0C9731FD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102</xdr:row>
      <xdr:rowOff>0</xdr:rowOff>
    </xdr:from>
    <xdr:to>
      <xdr:col>20</xdr:col>
      <xdr:colOff>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EE1C0EF5-895D-4264-8643-A7419F718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</xdr:colOff>
      <xdr:row>159</xdr:row>
      <xdr:rowOff>0</xdr:rowOff>
    </xdr:from>
    <xdr:to>
      <xdr:col>27</xdr:col>
      <xdr:colOff>0</xdr:colOff>
      <xdr:row>183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FF550754-725E-4038-AC76-A5B070B2D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173</xdr:row>
      <xdr:rowOff>186349</xdr:rowOff>
    </xdr:from>
    <xdr:to>
      <xdr:col>7</xdr:col>
      <xdr:colOff>1</xdr:colOff>
      <xdr:row>183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ACF1C1C9-C383-4BCE-AA87-9ED2DCE24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0</xdr:colOff>
      <xdr:row>159</xdr:row>
      <xdr:rowOff>0</xdr:rowOff>
    </xdr:from>
    <xdr:to>
      <xdr:col>19</xdr:col>
      <xdr:colOff>549086</xdr:colOff>
      <xdr:row>183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9F6CDA36-60EA-420F-8AFB-7A287F860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174</xdr:row>
      <xdr:rowOff>0</xdr:rowOff>
    </xdr:from>
    <xdr:to>
      <xdr:col>20</xdr:col>
      <xdr:colOff>0</xdr:colOff>
      <xdr:row>179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E4EC7C95-DAE9-4990-BE5B-F0272B274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225"/>
  <sheetViews>
    <sheetView tabSelected="1" view="pageBreakPreview" zoomScale="60" zoomScaleNormal="70" workbookViewId="0">
      <selection activeCell="E14" sqref="E14"/>
    </sheetView>
  </sheetViews>
  <sheetFormatPr defaultRowHeight="15"/>
  <cols>
    <col min="3" max="3" width="16.5703125" customWidth="1"/>
  </cols>
  <sheetData>
    <row r="2" spans="1:27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">
      <c r="A3" s="3"/>
      <c r="B3" s="4" t="s">
        <v>0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>
      <c r="A4" s="3"/>
      <c r="B4" s="6"/>
      <c r="C4" s="7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9"/>
      <c r="R4" s="10"/>
      <c r="S4" s="7"/>
      <c r="T4" s="10"/>
      <c r="U4" s="10"/>
      <c r="V4" s="10"/>
      <c r="W4" s="10"/>
      <c r="X4" s="10"/>
      <c r="Y4" s="10"/>
      <c r="Z4" s="11"/>
      <c r="AA4" s="11"/>
    </row>
    <row r="5" spans="1:27">
      <c r="A5" s="3"/>
      <c r="B5" s="12"/>
      <c r="C5" s="13" t="s">
        <v>1</v>
      </c>
      <c r="D5" s="14"/>
      <c r="E5" s="15">
        <v>45992</v>
      </c>
      <c r="F5" s="16"/>
      <c r="G5" s="7"/>
      <c r="H5" s="17"/>
      <c r="I5" s="18">
        <f>CHOOSE(MONTH(I6),1,1,1,2,2,2,3,3,3,4,4,4)</f>
        <v>1</v>
      </c>
      <c r="J5" s="19">
        <f t="shared" ref="J5:T5" si="0">CHOOSE(MONTH(J6),1,1,1,2,2,2,3,3,3,4,4,4)</f>
        <v>1</v>
      </c>
      <c r="K5" s="20">
        <f t="shared" si="0"/>
        <v>1</v>
      </c>
      <c r="L5" s="21">
        <f t="shared" si="0"/>
        <v>2</v>
      </c>
      <c r="M5" s="19">
        <f t="shared" si="0"/>
        <v>2</v>
      </c>
      <c r="N5" s="22">
        <f t="shared" si="0"/>
        <v>2</v>
      </c>
      <c r="O5" s="21">
        <f t="shared" si="0"/>
        <v>3</v>
      </c>
      <c r="P5" s="19">
        <f t="shared" si="0"/>
        <v>3</v>
      </c>
      <c r="Q5" s="22">
        <f t="shared" si="0"/>
        <v>3</v>
      </c>
      <c r="R5" s="23">
        <f t="shared" si="0"/>
        <v>4</v>
      </c>
      <c r="S5" s="24">
        <f t="shared" si="0"/>
        <v>4</v>
      </c>
      <c r="T5" s="22">
        <f t="shared" si="0"/>
        <v>4</v>
      </c>
      <c r="U5" s="16"/>
      <c r="V5" s="10"/>
      <c r="W5" s="10"/>
      <c r="X5" s="10"/>
      <c r="Y5" s="10"/>
      <c r="Z5" s="10"/>
      <c r="AA5" s="10"/>
    </row>
    <row r="6" spans="1:27" ht="15.75" thickBot="1">
      <c r="A6" s="25"/>
      <c r="B6" s="9"/>
      <c r="C6" s="26" t="s">
        <v>2</v>
      </c>
      <c r="D6" s="27"/>
      <c r="E6" s="28">
        <v>2025</v>
      </c>
      <c r="F6" s="29"/>
      <c r="G6" s="9"/>
      <c r="H6" s="17"/>
      <c r="I6" s="30">
        <f>DATE(E6,1,1)</f>
        <v>45658</v>
      </c>
      <c r="J6" s="31">
        <f>EDATE(I6,1)</f>
        <v>45689</v>
      </c>
      <c r="K6" s="31">
        <f t="shared" ref="K6:T6" si="1">EDATE(J6,1)</f>
        <v>45717</v>
      </c>
      <c r="L6" s="32">
        <f t="shared" si="1"/>
        <v>45748</v>
      </c>
      <c r="M6" s="31">
        <f t="shared" si="1"/>
        <v>45778</v>
      </c>
      <c r="N6" s="31">
        <f t="shared" si="1"/>
        <v>45809</v>
      </c>
      <c r="O6" s="32">
        <f t="shared" si="1"/>
        <v>45839</v>
      </c>
      <c r="P6" s="31">
        <f t="shared" si="1"/>
        <v>45870</v>
      </c>
      <c r="Q6" s="31">
        <f t="shared" si="1"/>
        <v>45901</v>
      </c>
      <c r="R6" s="32">
        <f t="shared" si="1"/>
        <v>45931</v>
      </c>
      <c r="S6" s="31">
        <f t="shared" si="1"/>
        <v>45962</v>
      </c>
      <c r="T6" s="31">
        <f t="shared" si="1"/>
        <v>45992</v>
      </c>
      <c r="U6" s="33"/>
      <c r="V6" s="34">
        <v>1</v>
      </c>
      <c r="W6" s="20">
        <f>V6+1</f>
        <v>2</v>
      </c>
      <c r="X6" s="20">
        <f>W6+1</f>
        <v>3</v>
      </c>
      <c r="Y6" s="20">
        <f>X6+1</f>
        <v>4</v>
      </c>
      <c r="Z6" s="35"/>
      <c r="AA6" s="36" t="s">
        <v>3</v>
      </c>
    </row>
    <row r="7" spans="1:27">
      <c r="A7" s="37"/>
      <c r="B7" s="11"/>
      <c r="C7" s="38"/>
      <c r="D7" s="39"/>
      <c r="E7" s="9"/>
      <c r="F7" s="9"/>
      <c r="G7" s="9"/>
      <c r="H7" s="9"/>
      <c r="I7" s="40">
        <f>IF(I$6&lt;=$E$5,1,0)</f>
        <v>1</v>
      </c>
      <c r="J7" s="40">
        <f t="shared" ref="J7:T7" si="2">IF(J$6&lt;=$E$5,1,0)</f>
        <v>1</v>
      </c>
      <c r="K7" s="40">
        <f t="shared" si="2"/>
        <v>1</v>
      </c>
      <c r="L7" s="40">
        <f t="shared" si="2"/>
        <v>1</v>
      </c>
      <c r="M7" s="40">
        <f t="shared" si="2"/>
        <v>1</v>
      </c>
      <c r="N7" s="40">
        <f t="shared" si="2"/>
        <v>1</v>
      </c>
      <c r="O7" s="40">
        <f t="shared" si="2"/>
        <v>1</v>
      </c>
      <c r="P7" s="40">
        <f t="shared" si="2"/>
        <v>1</v>
      </c>
      <c r="Q7" s="40">
        <f t="shared" si="2"/>
        <v>1</v>
      </c>
      <c r="R7" s="40">
        <f t="shared" si="2"/>
        <v>1</v>
      </c>
      <c r="S7" s="40">
        <f t="shared" si="2"/>
        <v>1</v>
      </c>
      <c r="T7" s="40">
        <f t="shared" si="2"/>
        <v>1</v>
      </c>
      <c r="U7" s="41"/>
      <c r="V7" s="40">
        <f>IF(SUMIFS($I$7:$T$7,$I$5:$T$5,V$6)=3,1,0)</f>
        <v>1</v>
      </c>
      <c r="W7" s="40">
        <f t="shared" ref="W7:Y7" si="3">IF(SUMIFS($I$7:$T$7,$I$5:$T$5,W$6)=3,1,0)</f>
        <v>1</v>
      </c>
      <c r="X7" s="40">
        <f t="shared" si="3"/>
        <v>1</v>
      </c>
      <c r="Y7" s="40">
        <f t="shared" si="3"/>
        <v>1</v>
      </c>
      <c r="Z7" s="41"/>
      <c r="AA7" s="40">
        <f>IF(SUM(V7:Y7)=4,1,0)</f>
        <v>1</v>
      </c>
    </row>
    <row r="8" spans="1:27">
      <c r="A8" s="11"/>
      <c r="B8" s="11"/>
      <c r="C8" s="42"/>
      <c r="D8" s="11"/>
      <c r="E8" s="42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43"/>
      <c r="Z8" s="43"/>
      <c r="AA8" s="43"/>
    </row>
    <row r="9" spans="1:27" ht="15.75" thickBot="1">
      <c r="A9" s="11"/>
      <c r="B9" s="11"/>
      <c r="C9" s="44" t="s">
        <v>4</v>
      </c>
      <c r="D9" s="45"/>
      <c r="E9" s="46" t="s">
        <v>5</v>
      </c>
      <c r="F9" s="11"/>
      <c r="G9" s="47" t="s">
        <v>6</v>
      </c>
      <c r="H9" s="11"/>
      <c r="I9" s="48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50"/>
      <c r="V9" s="51"/>
      <c r="W9" s="52"/>
      <c r="X9" s="52"/>
      <c r="Y9" s="52"/>
      <c r="Z9" s="53"/>
      <c r="AA9" s="54"/>
    </row>
    <row r="10" spans="1:27">
      <c r="A10" s="11"/>
      <c r="B10" s="11"/>
      <c r="C10" s="27"/>
      <c r="D10" s="55"/>
      <c r="E10" s="42"/>
      <c r="F10" s="11"/>
      <c r="G10" s="47" t="s">
        <v>7</v>
      </c>
      <c r="H10" s="11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0"/>
      <c r="V10" s="58"/>
      <c r="W10" s="59"/>
      <c r="X10" s="59"/>
      <c r="Y10" s="59"/>
      <c r="Z10" s="53"/>
      <c r="AA10" s="60"/>
    </row>
    <row r="11" spans="1:27">
      <c r="A11" s="25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2"/>
      <c r="W11" s="62"/>
      <c r="X11" s="63"/>
      <c r="Y11" s="63"/>
      <c r="Z11" s="62"/>
      <c r="AA11" s="62"/>
    </row>
    <row r="12" spans="1:2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8">
      <c r="A13" s="3"/>
      <c r="B13" s="64" t="s">
        <v>8</v>
      </c>
      <c r="C13" s="64"/>
      <c r="D13" s="64"/>
      <c r="E13" s="65"/>
      <c r="F13" s="65"/>
      <c r="G13" s="65"/>
      <c r="H13" s="65"/>
      <c r="I13" s="65"/>
      <c r="J13" s="65"/>
      <c r="K13" s="65"/>
      <c r="L13" s="66"/>
      <c r="M13" s="5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1:27">
      <c r="A14" s="3"/>
      <c r="B14" s="7"/>
      <c r="C14" s="7"/>
      <c r="D14" s="7"/>
      <c r="E14" s="68"/>
      <c r="F14" s="68"/>
      <c r="G14" s="68"/>
      <c r="H14" s="68"/>
      <c r="I14" s="6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  <c r="U14" s="10"/>
      <c r="V14" s="7"/>
      <c r="W14" s="10"/>
      <c r="X14" s="10"/>
      <c r="Y14" s="10"/>
      <c r="Z14" s="10"/>
      <c r="AA14" s="7"/>
    </row>
    <row r="15" spans="1:27">
      <c r="A15" s="9"/>
      <c r="B15" s="69" t="s">
        <v>9</v>
      </c>
      <c r="C15" s="70"/>
      <c r="D15" s="70"/>
      <c r="E15" s="70"/>
      <c r="F15" s="70"/>
      <c r="G15" s="70"/>
      <c r="H15" s="11"/>
      <c r="I15" s="11"/>
      <c r="J15" s="11"/>
      <c r="K15" s="11"/>
      <c r="L15" s="71" t="s">
        <v>10</v>
      </c>
      <c r="M15" s="9"/>
      <c r="N15" s="9"/>
      <c r="O15" s="9"/>
      <c r="P15" s="9"/>
      <c r="Q15" s="11"/>
      <c r="R15" s="11"/>
      <c r="S15" s="72"/>
      <c r="T15" s="73" t="str">
        <f>$E$9</f>
        <v>YEARS</v>
      </c>
      <c r="U15" s="11"/>
      <c r="V15" s="71" t="s">
        <v>11</v>
      </c>
      <c r="W15" s="9"/>
      <c r="X15" s="9"/>
      <c r="Y15" s="9"/>
      <c r="Z15" s="9"/>
      <c r="AA15" s="73" t="str">
        <f>$E$9</f>
        <v>YEARS</v>
      </c>
    </row>
    <row r="16" spans="1:27">
      <c r="A16" s="9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74"/>
      <c r="M16" s="9"/>
      <c r="N16" s="9"/>
      <c r="O16" s="9"/>
      <c r="P16" s="9"/>
      <c r="Q16" s="9"/>
      <c r="R16" s="11"/>
      <c r="S16" s="11"/>
      <c r="T16" s="11"/>
      <c r="U16" s="11"/>
      <c r="V16" s="9"/>
      <c r="W16" s="9"/>
      <c r="X16" s="9"/>
      <c r="Y16" s="9"/>
      <c r="Z16" s="9"/>
      <c r="AA16" s="9"/>
    </row>
    <row r="17" spans="1:27">
      <c r="A17" s="9"/>
      <c r="B17" s="75" t="str">
        <f>CONCATENATE(TEXT($E$5,"mmmm")," Results")</f>
        <v>December Results</v>
      </c>
      <c r="C17" s="76"/>
      <c r="D17" s="77"/>
      <c r="E17" s="78"/>
      <c r="F17" s="78"/>
      <c r="G17" s="11"/>
      <c r="H17" s="11"/>
      <c r="I17" s="79"/>
      <c r="J17" s="11"/>
      <c r="K17" s="11"/>
      <c r="L17" s="27"/>
      <c r="M17" s="9"/>
      <c r="N17" s="9"/>
      <c r="O17" s="80"/>
      <c r="P17" s="80"/>
      <c r="Q17" s="80"/>
      <c r="R17" s="11"/>
      <c r="S17" s="11"/>
      <c r="T17" s="11"/>
      <c r="U17" s="11"/>
      <c r="V17" s="9"/>
      <c r="W17" s="9"/>
      <c r="X17" s="9"/>
      <c r="Y17" s="9"/>
      <c r="Z17" s="9"/>
      <c r="AA17" s="9"/>
    </row>
    <row r="18" spans="1:27">
      <c r="A18" s="9"/>
      <c r="B18" s="81" t="s">
        <v>12</v>
      </c>
      <c r="C18" s="70"/>
      <c r="D18" s="70"/>
      <c r="E18" s="70"/>
      <c r="F18" s="70"/>
      <c r="G18" s="70"/>
      <c r="H18" s="70"/>
      <c r="I18" s="70"/>
      <c r="J18" s="70"/>
      <c r="K18" s="11"/>
      <c r="L18" s="27"/>
      <c r="M18" s="9"/>
      <c r="N18" s="9"/>
      <c r="O18" s="80"/>
      <c r="P18" s="80"/>
      <c r="Q18" s="80"/>
      <c r="R18" s="11"/>
      <c r="S18" s="11"/>
      <c r="T18" s="11"/>
      <c r="U18" s="11"/>
      <c r="V18" s="9"/>
      <c r="W18" s="9"/>
      <c r="X18" s="9"/>
      <c r="Y18" s="9"/>
      <c r="Z18" s="9"/>
      <c r="AA18" s="9"/>
    </row>
    <row r="19" spans="1:27">
      <c r="A19" s="9"/>
      <c r="B19" s="81" t="s">
        <v>12</v>
      </c>
      <c r="C19" s="70"/>
      <c r="D19" s="70"/>
      <c r="E19" s="70"/>
      <c r="F19" s="70"/>
      <c r="G19" s="70"/>
      <c r="H19" s="70"/>
      <c r="I19" s="70"/>
      <c r="J19" s="70"/>
      <c r="K19" s="11"/>
      <c r="L19" s="9"/>
      <c r="M19" s="9"/>
      <c r="N19" s="9"/>
      <c r="O19" s="9"/>
      <c r="P19" s="9"/>
      <c r="Q19" s="9"/>
      <c r="R19" s="11"/>
      <c r="S19" s="11"/>
      <c r="T19" s="11"/>
      <c r="U19" s="11"/>
      <c r="V19" s="9"/>
      <c r="W19" s="9"/>
      <c r="X19" s="9"/>
      <c r="Y19" s="9"/>
      <c r="Z19" s="9"/>
      <c r="AA19" s="9"/>
    </row>
    <row r="20" spans="1:27">
      <c r="A20" s="9"/>
      <c r="B20" s="9"/>
      <c r="C20" s="9"/>
      <c r="D20" s="9"/>
      <c r="E20" s="9"/>
      <c r="F20" s="9"/>
      <c r="G20" s="9"/>
      <c r="H20" s="9"/>
      <c r="I20" s="9"/>
      <c r="J20" s="9"/>
      <c r="K20" s="11"/>
      <c r="L20" s="74"/>
      <c r="M20" s="9"/>
      <c r="N20" s="9"/>
      <c r="O20" s="9"/>
      <c r="P20" s="9"/>
      <c r="Q20" s="9"/>
      <c r="R20" s="11"/>
      <c r="S20" s="11"/>
      <c r="T20" s="11"/>
      <c r="U20" s="11"/>
      <c r="V20" s="9"/>
      <c r="W20" s="9"/>
      <c r="X20" s="9"/>
      <c r="Y20" s="9"/>
      <c r="Z20" s="9"/>
      <c r="AA20" s="9"/>
    </row>
    <row r="21" spans="1:27">
      <c r="A21" s="9"/>
      <c r="B21" s="75" t="str">
        <f>CONCATENATE($E$6," Forecast")</f>
        <v>2025 Forecast</v>
      </c>
      <c r="C21" s="70"/>
      <c r="D21" s="77"/>
      <c r="E21" s="78"/>
      <c r="F21" s="11"/>
      <c r="G21" s="11"/>
      <c r="H21" s="11"/>
      <c r="I21" s="11"/>
      <c r="J21" s="11"/>
      <c r="K21" s="11"/>
      <c r="L21" s="27"/>
      <c r="M21" s="9"/>
      <c r="N21" s="9"/>
      <c r="O21" s="80"/>
      <c r="P21" s="80"/>
      <c r="Q21" s="80"/>
      <c r="R21" s="11"/>
      <c r="S21" s="11"/>
      <c r="T21" s="11"/>
      <c r="U21" s="11"/>
      <c r="V21" s="9"/>
      <c r="W21" s="9"/>
      <c r="X21" s="9"/>
      <c r="Y21" s="9"/>
      <c r="Z21" s="9"/>
      <c r="AA21" s="9"/>
    </row>
    <row r="22" spans="1:27">
      <c r="A22" s="9"/>
      <c r="B22" s="81" t="s">
        <v>12</v>
      </c>
      <c r="C22" s="70"/>
      <c r="D22" s="70"/>
      <c r="E22" s="70"/>
      <c r="F22" s="70"/>
      <c r="G22" s="70"/>
      <c r="H22" s="70"/>
      <c r="I22" s="70"/>
      <c r="J22" s="70"/>
      <c r="K22" s="11"/>
      <c r="L22" s="27"/>
      <c r="M22" s="9"/>
      <c r="N22" s="9"/>
      <c r="O22" s="80"/>
      <c r="P22" s="80"/>
      <c r="Q22" s="80"/>
      <c r="R22" s="11"/>
      <c r="S22" s="11"/>
      <c r="T22" s="11"/>
      <c r="U22" s="11"/>
      <c r="V22" s="9"/>
      <c r="W22" s="9"/>
      <c r="X22" s="9"/>
      <c r="Y22" s="9"/>
      <c r="Z22" s="9"/>
      <c r="AA22" s="9"/>
    </row>
    <row r="23" spans="1:27">
      <c r="A23" s="9"/>
      <c r="B23" s="81" t="s">
        <v>12</v>
      </c>
      <c r="C23" s="70"/>
      <c r="D23" s="70"/>
      <c r="E23" s="70"/>
      <c r="F23" s="70"/>
      <c r="G23" s="70"/>
      <c r="H23" s="70"/>
      <c r="I23" s="70"/>
      <c r="J23" s="70"/>
      <c r="K23" s="11"/>
      <c r="L23" s="9"/>
      <c r="M23" s="9"/>
      <c r="N23" s="9"/>
      <c r="O23" s="9"/>
      <c r="P23" s="9"/>
      <c r="Q23" s="9"/>
      <c r="R23" s="11"/>
      <c r="S23" s="11"/>
      <c r="T23" s="11"/>
      <c r="U23" s="11"/>
      <c r="V23" s="9"/>
      <c r="W23" s="9"/>
      <c r="X23" s="9"/>
      <c r="Y23" s="9"/>
      <c r="Z23" s="9"/>
      <c r="AA23" s="9"/>
    </row>
    <row r="24" spans="1:27">
      <c r="A24" s="9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74"/>
      <c r="M24" s="9"/>
      <c r="N24" s="9"/>
      <c r="O24" s="82"/>
      <c r="P24" s="82"/>
      <c r="Q24" s="82"/>
      <c r="R24" s="11"/>
      <c r="S24" s="11"/>
      <c r="T24" s="11"/>
      <c r="U24" s="11"/>
      <c r="V24" s="9"/>
      <c r="W24" s="9"/>
      <c r="X24" s="9"/>
      <c r="Y24" s="9"/>
      <c r="Z24" s="9"/>
      <c r="AA24" s="9"/>
    </row>
    <row r="25" spans="1:27">
      <c r="A25" s="9"/>
      <c r="B25" s="75" t="str">
        <f>CONCATENATE($E$6+1," Forecast")</f>
        <v>2026 Forecast</v>
      </c>
      <c r="C25" s="70"/>
      <c r="D25" s="83"/>
      <c r="E25" s="79"/>
      <c r="F25" s="11"/>
      <c r="G25" s="11"/>
      <c r="H25" s="11"/>
      <c r="I25" s="11"/>
      <c r="J25" s="11"/>
      <c r="K25" s="11"/>
      <c r="L25" s="27"/>
      <c r="M25" s="9"/>
      <c r="N25" s="9"/>
      <c r="O25" s="80"/>
      <c r="P25" s="80"/>
      <c r="Q25" s="80"/>
      <c r="R25" s="11"/>
      <c r="S25" s="11"/>
      <c r="T25" s="11"/>
      <c r="U25" s="11"/>
      <c r="V25" s="9"/>
      <c r="W25" s="9"/>
      <c r="X25" s="9"/>
      <c r="Y25" s="9"/>
      <c r="Z25" s="9"/>
      <c r="AA25" s="9"/>
    </row>
    <row r="26" spans="1:27">
      <c r="A26" s="9"/>
      <c r="B26" s="81" t="s">
        <v>12</v>
      </c>
      <c r="C26" s="70"/>
      <c r="D26" s="70"/>
      <c r="E26" s="70"/>
      <c r="F26" s="70"/>
      <c r="G26" s="70"/>
      <c r="H26" s="70"/>
      <c r="I26" s="70"/>
      <c r="J26" s="70"/>
      <c r="K26" s="11"/>
      <c r="L26" s="27"/>
      <c r="M26" s="9"/>
      <c r="N26" s="9"/>
      <c r="O26" s="80"/>
      <c r="P26" s="80"/>
      <c r="Q26" s="80"/>
      <c r="R26" s="11"/>
      <c r="S26" s="11"/>
      <c r="T26" s="11"/>
      <c r="U26" s="11"/>
      <c r="V26" s="9"/>
      <c r="W26" s="9"/>
      <c r="X26" s="9"/>
      <c r="Y26" s="9"/>
      <c r="Z26" s="9"/>
      <c r="AA26" s="9"/>
    </row>
    <row r="27" spans="1:27">
      <c r="A27" s="9"/>
      <c r="B27" s="81" t="s">
        <v>12</v>
      </c>
      <c r="C27" s="70"/>
      <c r="D27" s="70"/>
      <c r="E27" s="70"/>
      <c r="F27" s="70"/>
      <c r="G27" s="70"/>
      <c r="H27" s="70"/>
      <c r="I27" s="70"/>
      <c r="J27" s="70"/>
      <c r="K27" s="11"/>
      <c r="L27" s="27"/>
      <c r="M27" s="9"/>
      <c r="N27" s="9"/>
      <c r="O27" s="80"/>
      <c r="P27" s="80"/>
      <c r="Q27" s="80"/>
      <c r="R27" s="11"/>
      <c r="S27" s="11"/>
      <c r="T27" s="11"/>
      <c r="U27" s="11"/>
      <c r="V27" s="9"/>
      <c r="W27" s="9"/>
      <c r="X27" s="9"/>
      <c r="Y27" s="9"/>
      <c r="Z27" s="9"/>
      <c r="AA27" s="9"/>
    </row>
    <row r="28" spans="1:27">
      <c r="A28" s="9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9"/>
      <c r="M28" s="9"/>
      <c r="N28" s="9"/>
      <c r="O28" s="9"/>
      <c r="P28" s="9"/>
      <c r="Q28" s="9"/>
      <c r="R28" s="11"/>
      <c r="S28" s="11"/>
      <c r="T28" s="11"/>
      <c r="U28" s="11"/>
      <c r="V28" s="9"/>
      <c r="W28" s="9"/>
      <c r="X28" s="9"/>
      <c r="Y28" s="9"/>
      <c r="Z28" s="9"/>
      <c r="AA28" s="9"/>
    </row>
    <row r="29" spans="1:27">
      <c r="A29" s="9"/>
      <c r="B29" s="84"/>
      <c r="C29" s="84"/>
      <c r="D29" s="84"/>
      <c r="E29" s="11"/>
      <c r="F29" s="11"/>
      <c r="G29" s="11"/>
      <c r="H29" s="11"/>
      <c r="I29" s="11"/>
      <c r="J29" s="11"/>
      <c r="K29" s="11"/>
      <c r="L29" s="9"/>
      <c r="M29" s="9"/>
      <c r="N29" s="9"/>
      <c r="O29" s="9"/>
      <c r="P29" s="9"/>
      <c r="Q29" s="9"/>
      <c r="R29" s="11"/>
      <c r="S29" s="11"/>
      <c r="T29" s="11"/>
      <c r="U29" s="11"/>
      <c r="V29" s="9"/>
      <c r="W29" s="9"/>
      <c r="X29" s="9"/>
      <c r="Y29" s="9"/>
      <c r="Z29" s="9"/>
      <c r="AA29" s="9"/>
    </row>
    <row r="30" spans="1:27">
      <c r="A30" s="9"/>
      <c r="B30" s="11"/>
      <c r="C30" s="71" t="s">
        <v>13</v>
      </c>
      <c r="D30" s="71"/>
      <c r="E30" s="9"/>
      <c r="F30" s="9"/>
      <c r="G30" s="73" t="str">
        <f>$E$9</f>
        <v>YEARS</v>
      </c>
      <c r="H30" s="85"/>
      <c r="I30" s="86" t="s">
        <v>14</v>
      </c>
      <c r="J30" s="11"/>
      <c r="K30" s="11"/>
      <c r="L30" s="74"/>
      <c r="M30" s="74"/>
      <c r="N30" s="74"/>
      <c r="O30" s="9"/>
      <c r="P30" s="9"/>
      <c r="Q30" s="9"/>
      <c r="R30" s="9"/>
      <c r="S30" s="9"/>
      <c r="T30" s="9"/>
      <c r="U30" s="9"/>
      <c r="V30" s="11"/>
      <c r="W30" s="11"/>
      <c r="X30" s="11"/>
      <c r="Y30" s="11"/>
      <c r="Z30" s="11"/>
      <c r="AA30" s="11"/>
    </row>
    <row r="31" spans="1:27">
      <c r="A31" s="9"/>
      <c r="B31" s="9"/>
      <c r="C31" s="9"/>
      <c r="D31" s="9"/>
      <c r="E31" s="9"/>
      <c r="F31" s="9"/>
      <c r="G31" s="11"/>
      <c r="H31" s="11"/>
      <c r="I31" s="11"/>
      <c r="J31" s="11"/>
      <c r="K31" s="11"/>
      <c r="L31" s="27"/>
      <c r="M31" s="27"/>
      <c r="N31" s="27"/>
      <c r="O31" s="80"/>
      <c r="P31" s="80"/>
      <c r="Q31" s="80"/>
      <c r="R31" s="9"/>
      <c r="S31" s="9"/>
      <c r="T31" s="9"/>
      <c r="U31" s="9"/>
      <c r="V31" s="11"/>
      <c r="W31" s="11"/>
      <c r="X31" s="11"/>
      <c r="Y31" s="11"/>
      <c r="Z31" s="11"/>
      <c r="AA31" s="11"/>
    </row>
    <row r="32" spans="1:27">
      <c r="A32" s="9"/>
      <c r="B32" s="9"/>
      <c r="C32" s="9"/>
      <c r="D32" s="9"/>
      <c r="E32" s="9"/>
      <c r="F32" s="9"/>
      <c r="G32" s="11"/>
      <c r="H32" s="11"/>
      <c r="I32" s="11"/>
      <c r="J32" s="11"/>
      <c r="K32" s="11"/>
      <c r="L32" s="27"/>
      <c r="M32" s="27"/>
      <c r="N32" s="27"/>
      <c r="O32" s="80"/>
      <c r="P32" s="80"/>
      <c r="Q32" s="80"/>
      <c r="R32" s="9"/>
      <c r="S32" s="9"/>
      <c r="T32" s="9"/>
      <c r="U32" s="9"/>
      <c r="V32" s="11"/>
      <c r="W32" s="11"/>
      <c r="X32" s="11"/>
      <c r="Y32" s="11"/>
      <c r="Z32" s="11"/>
      <c r="AA32" s="11"/>
    </row>
    <row r="33" spans="1:27">
      <c r="A33" s="9"/>
      <c r="B33" s="9"/>
      <c r="C33" s="9"/>
      <c r="D33" s="9"/>
      <c r="E33" s="9"/>
      <c r="F33" s="9"/>
      <c r="G33" s="11"/>
      <c r="H33" s="11"/>
      <c r="I33" s="11"/>
      <c r="J33" s="11"/>
      <c r="K33" s="11"/>
      <c r="L33" s="27"/>
      <c r="M33" s="87"/>
      <c r="N33" s="87"/>
      <c r="O33" s="80"/>
      <c r="P33" s="80"/>
      <c r="Q33" s="80"/>
      <c r="R33" s="9"/>
      <c r="S33" s="9"/>
      <c r="T33" s="9"/>
      <c r="U33" s="9"/>
      <c r="V33" s="11"/>
      <c r="W33" s="11"/>
      <c r="X33" s="11"/>
      <c r="Y33" s="11"/>
      <c r="Z33" s="11"/>
      <c r="AA33" s="11"/>
    </row>
    <row r="34" spans="1:27">
      <c r="A34" s="9"/>
      <c r="B34" s="9"/>
      <c r="C34" s="9"/>
      <c r="D34" s="9"/>
      <c r="E34" s="9"/>
      <c r="F34" s="9"/>
      <c r="G34" s="11"/>
      <c r="H34" s="11"/>
      <c r="I34" s="11"/>
      <c r="J34" s="11"/>
      <c r="K34" s="11"/>
      <c r="L34" s="27"/>
      <c r="M34" s="87"/>
      <c r="N34" s="87"/>
      <c r="O34" s="80"/>
      <c r="P34" s="80"/>
      <c r="Q34" s="80"/>
      <c r="R34" s="9"/>
      <c r="S34" s="9"/>
      <c r="T34" s="9"/>
      <c r="U34" s="9"/>
      <c r="V34" s="11"/>
      <c r="W34" s="11"/>
      <c r="X34" s="11"/>
      <c r="Y34" s="11"/>
      <c r="Z34" s="11"/>
      <c r="AA34" s="11"/>
    </row>
    <row r="35" spans="1:27">
      <c r="A35" s="9"/>
      <c r="B35" s="9"/>
      <c r="C35" s="9"/>
      <c r="D35" s="9"/>
      <c r="E35" s="9"/>
      <c r="F35" s="9"/>
      <c r="G35" s="11"/>
      <c r="H35" s="11"/>
      <c r="I35" s="11"/>
      <c r="J35" s="11"/>
      <c r="K35" s="11"/>
      <c r="L35" s="27"/>
      <c r="M35" s="87"/>
      <c r="N35" s="87"/>
      <c r="O35" s="80"/>
      <c r="P35" s="80"/>
      <c r="Q35" s="80"/>
      <c r="R35" s="9"/>
      <c r="S35" s="9"/>
      <c r="T35" s="9"/>
      <c r="U35" s="9"/>
      <c r="V35" s="11"/>
      <c r="W35" s="11"/>
      <c r="X35" s="11"/>
      <c r="Y35" s="11"/>
      <c r="Z35" s="11"/>
      <c r="AA35" s="11"/>
    </row>
    <row r="36" spans="1:27">
      <c r="A36" s="9"/>
      <c r="B36" s="9"/>
      <c r="C36" s="9"/>
      <c r="D36" s="9"/>
      <c r="E36" s="9"/>
      <c r="F36" s="9"/>
      <c r="G36" s="11"/>
      <c r="H36" s="11"/>
      <c r="I36" s="11"/>
      <c r="J36" s="11"/>
      <c r="K36" s="11"/>
      <c r="L36" s="27"/>
      <c r="M36" s="87"/>
      <c r="N36" s="87"/>
      <c r="O36" s="80"/>
      <c r="P36" s="80"/>
      <c r="Q36" s="80"/>
      <c r="R36" s="9"/>
      <c r="S36" s="9"/>
      <c r="T36" s="9"/>
      <c r="U36" s="9"/>
      <c r="V36" s="11"/>
      <c r="W36" s="11"/>
      <c r="X36" s="11"/>
      <c r="Y36" s="11"/>
      <c r="Z36" s="11"/>
      <c r="AA36" s="11"/>
    </row>
    <row r="37" spans="1:27">
      <c r="A37" s="9"/>
      <c r="B37" s="9"/>
      <c r="C37" s="9"/>
      <c r="D37" s="9"/>
      <c r="E37" s="9"/>
      <c r="F37" s="9"/>
      <c r="G37" s="11"/>
      <c r="H37" s="11"/>
      <c r="I37" s="11"/>
      <c r="J37" s="11"/>
      <c r="K37" s="11"/>
      <c r="L37" s="27"/>
      <c r="M37" s="87"/>
      <c r="N37" s="87"/>
      <c r="O37" s="80"/>
      <c r="P37" s="80"/>
      <c r="Q37" s="80"/>
      <c r="R37" s="9"/>
      <c r="S37" s="9"/>
      <c r="T37" s="9"/>
      <c r="U37" s="9"/>
      <c r="V37" s="11"/>
      <c r="W37" s="11"/>
      <c r="X37" s="11"/>
      <c r="Y37" s="11"/>
      <c r="Z37" s="11"/>
      <c r="AA37" s="11"/>
    </row>
    <row r="38" spans="1:27">
      <c r="A38" s="9"/>
      <c r="B38" s="9"/>
      <c r="C38" s="9"/>
      <c r="D38" s="9"/>
      <c r="E38" s="9"/>
      <c r="F38" s="9"/>
      <c r="G38" s="11"/>
      <c r="H38" s="11"/>
      <c r="I38" s="11"/>
      <c r="J38" s="11"/>
      <c r="K38" s="11"/>
      <c r="L38" s="27"/>
      <c r="M38" s="87"/>
      <c r="N38" s="87"/>
      <c r="O38" s="80"/>
      <c r="P38" s="80"/>
      <c r="Q38" s="80"/>
      <c r="R38" s="9"/>
      <c r="S38" s="9"/>
      <c r="T38" s="9"/>
      <c r="U38" s="9"/>
      <c r="V38" s="11"/>
      <c r="W38" s="11"/>
      <c r="X38" s="11"/>
      <c r="Y38" s="11"/>
      <c r="Z38" s="11"/>
      <c r="AA38" s="11"/>
    </row>
    <row r="39" spans="1:27">
      <c r="A39" s="9"/>
      <c r="B39" s="9"/>
      <c r="C39" s="9"/>
      <c r="D39" s="9"/>
      <c r="E39" s="9"/>
      <c r="F39" s="9"/>
      <c r="G39" s="11"/>
      <c r="H39" s="11"/>
      <c r="I39" s="11"/>
      <c r="J39" s="11"/>
      <c r="K39" s="11"/>
      <c r="L39" s="27"/>
      <c r="M39" s="87"/>
      <c r="N39" s="87"/>
      <c r="O39" s="80"/>
      <c r="P39" s="80"/>
      <c r="Q39" s="80"/>
      <c r="R39" s="9"/>
      <c r="S39" s="9"/>
      <c r="T39" s="9"/>
      <c r="U39" s="9"/>
      <c r="V39" s="11"/>
      <c r="W39" s="11"/>
      <c r="X39" s="11"/>
      <c r="Y39" s="11"/>
      <c r="Z39" s="11"/>
      <c r="AA39" s="11"/>
    </row>
    <row r="40" spans="1:27">
      <c r="A40" s="9"/>
      <c r="B40" s="9"/>
      <c r="C40" s="9"/>
      <c r="D40" s="9"/>
      <c r="E40" s="9"/>
      <c r="F40" s="9"/>
      <c r="G40" s="11"/>
      <c r="H40" s="11"/>
      <c r="I40" s="11"/>
      <c r="J40" s="11"/>
      <c r="K40" s="11"/>
      <c r="L40" s="27"/>
      <c r="M40" s="87"/>
      <c r="N40" s="87"/>
      <c r="O40" s="80"/>
      <c r="P40" s="80"/>
      <c r="Q40" s="80"/>
      <c r="R40" s="9"/>
      <c r="S40" s="9"/>
      <c r="T40" s="9"/>
      <c r="U40" s="9"/>
      <c r="V40" s="11"/>
      <c r="W40" s="11"/>
      <c r="X40" s="11"/>
      <c r="Y40" s="11"/>
      <c r="Z40" s="11"/>
      <c r="AA40" s="11"/>
    </row>
    <row r="41" spans="1:27" ht="18">
      <c r="A41" s="12"/>
      <c r="B41" s="7"/>
      <c r="C41" s="7"/>
      <c r="D41" s="7"/>
      <c r="E41" s="88"/>
      <c r="F41" s="88"/>
      <c r="G41" s="88"/>
      <c r="H41" s="88"/>
      <c r="I41" s="89"/>
      <c r="J41" s="68"/>
      <c r="K41" s="68"/>
      <c r="L41" s="8"/>
      <c r="M41" s="7"/>
      <c r="N41" s="7"/>
      <c r="O41" s="9"/>
      <c r="P41" s="9"/>
      <c r="Q41" s="9"/>
      <c r="R41" s="9"/>
      <c r="S41" s="9"/>
      <c r="T41" s="9"/>
      <c r="U41" s="9"/>
      <c r="V41" s="7"/>
      <c r="W41" s="9"/>
      <c r="X41" s="9"/>
      <c r="Y41" s="9"/>
      <c r="Z41" s="9"/>
      <c r="AA41" s="9"/>
    </row>
    <row r="42" spans="1:27" ht="15.75" thickBot="1">
      <c r="A42" s="25"/>
      <c r="B42" s="9"/>
      <c r="C42" s="90"/>
      <c r="D42" s="91"/>
      <c r="E42" s="9"/>
      <c r="F42" s="9"/>
      <c r="G42" s="9"/>
      <c r="H42" s="9"/>
      <c r="I42" s="92">
        <f>I$6</f>
        <v>45658</v>
      </c>
      <c r="J42" s="93">
        <f t="shared" ref="J42:Y42" si="4">J$6</f>
        <v>45689</v>
      </c>
      <c r="K42" s="93">
        <f t="shared" si="4"/>
        <v>45717</v>
      </c>
      <c r="L42" s="94">
        <f t="shared" si="4"/>
        <v>45748</v>
      </c>
      <c r="M42" s="93">
        <f t="shared" si="4"/>
        <v>45778</v>
      </c>
      <c r="N42" s="93">
        <f t="shared" si="4"/>
        <v>45809</v>
      </c>
      <c r="O42" s="94">
        <f t="shared" si="4"/>
        <v>45839</v>
      </c>
      <c r="P42" s="93">
        <f t="shared" si="4"/>
        <v>45870</v>
      </c>
      <c r="Q42" s="93">
        <f t="shared" si="4"/>
        <v>45901</v>
      </c>
      <c r="R42" s="94">
        <f t="shared" si="4"/>
        <v>45931</v>
      </c>
      <c r="S42" s="93">
        <f t="shared" si="4"/>
        <v>45962</v>
      </c>
      <c r="T42" s="93">
        <f t="shared" si="4"/>
        <v>45992</v>
      </c>
      <c r="U42" s="33"/>
      <c r="V42" s="95">
        <f t="shared" si="4"/>
        <v>1</v>
      </c>
      <c r="W42" s="96">
        <f t="shared" si="4"/>
        <v>2</v>
      </c>
      <c r="X42" s="96">
        <f t="shared" si="4"/>
        <v>3</v>
      </c>
      <c r="Y42" s="96">
        <f t="shared" si="4"/>
        <v>4</v>
      </c>
      <c r="Z42" s="97"/>
      <c r="AA42" s="98" t="s">
        <v>3</v>
      </c>
    </row>
    <row r="43" spans="1:27">
      <c r="A43" s="3"/>
      <c r="B43" s="7"/>
      <c r="C43" s="99"/>
      <c r="D43" s="99"/>
      <c r="E43" s="7"/>
      <c r="F43" s="68"/>
      <c r="G43" s="68"/>
      <c r="H43" s="68"/>
      <c r="I43" s="100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39"/>
      <c r="U43" s="10"/>
      <c r="V43" s="102"/>
      <c r="W43" s="103"/>
      <c r="X43" s="103"/>
      <c r="Y43" s="103"/>
      <c r="Z43" s="10"/>
      <c r="AA43" s="102"/>
    </row>
    <row r="44" spans="1:27">
      <c r="A44" s="11"/>
      <c r="B44" s="11"/>
      <c r="C44" s="104" t="s">
        <v>15</v>
      </c>
      <c r="D44" s="104"/>
      <c r="E44" s="11"/>
      <c r="F44" s="11"/>
      <c r="G44" s="11"/>
      <c r="H44" s="11"/>
      <c r="I44" s="105">
        <f>I48/I71-1</f>
        <v>0</v>
      </c>
      <c r="J44" s="105">
        <f t="shared" ref="J44:AA44" si="5">J48/J71-1</f>
        <v>0</v>
      </c>
      <c r="K44" s="105">
        <f t="shared" si="5"/>
        <v>0</v>
      </c>
      <c r="L44" s="105">
        <f t="shared" si="5"/>
        <v>0</v>
      </c>
      <c r="M44" s="105">
        <f t="shared" si="5"/>
        <v>0</v>
      </c>
      <c r="N44" s="105">
        <f t="shared" si="5"/>
        <v>0</v>
      </c>
      <c r="O44" s="105">
        <f t="shared" si="5"/>
        <v>0</v>
      </c>
      <c r="P44" s="105">
        <f t="shared" si="5"/>
        <v>0</v>
      </c>
      <c r="Q44" s="105">
        <f t="shared" si="5"/>
        <v>0</v>
      </c>
      <c r="R44" s="105">
        <f t="shared" si="5"/>
        <v>0</v>
      </c>
      <c r="S44" s="105">
        <f t="shared" si="5"/>
        <v>0</v>
      </c>
      <c r="T44" s="105">
        <f t="shared" si="5"/>
        <v>0</v>
      </c>
      <c r="U44" s="10"/>
      <c r="V44" s="105">
        <f t="shared" si="5"/>
        <v>0</v>
      </c>
      <c r="W44" s="105">
        <f t="shared" si="5"/>
        <v>0</v>
      </c>
      <c r="X44" s="105">
        <f t="shared" si="5"/>
        <v>0</v>
      </c>
      <c r="Y44" s="105">
        <f t="shared" si="5"/>
        <v>0</v>
      </c>
      <c r="Z44" s="10"/>
      <c r="AA44" s="105">
        <f t="shared" si="5"/>
        <v>0</v>
      </c>
    </row>
    <row r="45" spans="1:27">
      <c r="A45" s="11"/>
      <c r="B45" s="11"/>
      <c r="C45" s="104" t="s">
        <v>16</v>
      </c>
      <c r="D45" s="104"/>
      <c r="E45" s="11"/>
      <c r="F45" s="11"/>
      <c r="G45" s="11"/>
      <c r="H45" s="11"/>
      <c r="I45" s="106">
        <f>I48/I68-1</f>
        <v>0.10294117647058831</v>
      </c>
      <c r="J45" s="106">
        <f t="shared" ref="J45:AA45" si="6">J48/J68-1</f>
        <v>0.12988384371700112</v>
      </c>
      <c r="K45" s="106">
        <f t="shared" si="6"/>
        <v>0.1637931034482758</v>
      </c>
      <c r="L45" s="106">
        <f t="shared" si="6"/>
        <v>0.16391852570320076</v>
      </c>
      <c r="M45" s="106">
        <f t="shared" si="6"/>
        <v>0.10114192495921692</v>
      </c>
      <c r="N45" s="106">
        <f t="shared" si="6"/>
        <v>5.0420168067226934E-2</v>
      </c>
      <c r="O45" s="106">
        <f t="shared" si="6"/>
        <v>7.4895977808599135E-2</v>
      </c>
      <c r="P45" s="106">
        <f t="shared" si="6"/>
        <v>4.3771043771043683E-2</v>
      </c>
      <c r="Q45" s="106">
        <f t="shared" si="6"/>
        <v>9.765329295987879E-2</v>
      </c>
      <c r="R45" s="106">
        <f t="shared" si="6"/>
        <v>6.6260472201066234E-2</v>
      </c>
      <c r="S45" s="106">
        <f t="shared" si="6"/>
        <v>6.8037974683544222E-2</v>
      </c>
      <c r="T45" s="106">
        <f t="shared" si="6"/>
        <v>0.15658362989323837</v>
      </c>
      <c r="U45" s="10"/>
      <c r="V45" s="106">
        <f t="shared" si="6"/>
        <v>0.13061086736415795</v>
      </c>
      <c r="W45" s="106">
        <f t="shared" si="6"/>
        <v>9.9050203527815572E-2</v>
      </c>
      <c r="X45" s="106">
        <f t="shared" si="6"/>
        <v>7.1092278719397273E-2</v>
      </c>
      <c r="Y45" s="106">
        <f t="shared" si="6"/>
        <v>9.4298838151850806E-2</v>
      </c>
      <c r="Z45" s="10"/>
      <c r="AA45" s="106">
        <f t="shared" si="6"/>
        <v>9.6115640200041152E-2</v>
      </c>
    </row>
    <row r="46" spans="1:27">
      <c r="A46" s="2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>
      <c r="A47" s="25"/>
      <c r="B47" s="11"/>
      <c r="C47" s="77" t="str">
        <f>CONCATENATE($E$6," Forecast")</f>
        <v>2025 Forecast</v>
      </c>
      <c r="D47" s="77"/>
      <c r="E47" s="11"/>
      <c r="F47" s="11"/>
      <c r="G47" s="11"/>
      <c r="H47" s="11"/>
      <c r="I47" s="107">
        <f>I$7</f>
        <v>1</v>
      </c>
      <c r="J47" s="107">
        <f t="shared" ref="J47:AA47" si="7">J$7</f>
        <v>1</v>
      </c>
      <c r="K47" s="107">
        <f t="shared" si="7"/>
        <v>1</v>
      </c>
      <c r="L47" s="107">
        <f t="shared" si="7"/>
        <v>1</v>
      </c>
      <c r="M47" s="107">
        <f t="shared" si="7"/>
        <v>1</v>
      </c>
      <c r="N47" s="107">
        <f t="shared" si="7"/>
        <v>1</v>
      </c>
      <c r="O47" s="107">
        <f t="shared" si="7"/>
        <v>1</v>
      </c>
      <c r="P47" s="107">
        <f t="shared" si="7"/>
        <v>1</v>
      </c>
      <c r="Q47" s="107">
        <f t="shared" si="7"/>
        <v>1</v>
      </c>
      <c r="R47" s="107">
        <f t="shared" si="7"/>
        <v>1</v>
      </c>
      <c r="S47" s="107">
        <f t="shared" si="7"/>
        <v>1</v>
      </c>
      <c r="T47" s="107">
        <f t="shared" si="7"/>
        <v>1</v>
      </c>
      <c r="U47" s="41"/>
      <c r="V47" s="107">
        <f t="shared" si="7"/>
        <v>1</v>
      </c>
      <c r="W47" s="107">
        <f t="shared" si="7"/>
        <v>1</v>
      </c>
      <c r="X47" s="107">
        <f t="shared" si="7"/>
        <v>1</v>
      </c>
      <c r="Y47" s="107">
        <f t="shared" si="7"/>
        <v>1</v>
      </c>
      <c r="Z47" s="41"/>
      <c r="AA47" s="107">
        <f t="shared" si="7"/>
        <v>1</v>
      </c>
    </row>
    <row r="48" spans="1:27">
      <c r="A48" s="25"/>
      <c r="B48" s="11"/>
      <c r="C48" s="104" t="s">
        <v>17</v>
      </c>
      <c r="D48" s="104"/>
      <c r="E48" s="11"/>
      <c r="F48" s="11"/>
      <c r="G48" s="108" t="s">
        <v>18</v>
      </c>
      <c r="H48" s="11"/>
      <c r="I48" s="82">
        <v>1200</v>
      </c>
      <c r="J48" s="82">
        <v>1070</v>
      </c>
      <c r="K48" s="82">
        <v>1080</v>
      </c>
      <c r="L48" s="82">
        <v>1200</v>
      </c>
      <c r="M48" s="82">
        <v>1350</v>
      </c>
      <c r="N48" s="82">
        <v>1500</v>
      </c>
      <c r="O48" s="82">
        <v>1550</v>
      </c>
      <c r="P48" s="82">
        <v>1550</v>
      </c>
      <c r="Q48" s="82">
        <v>1450</v>
      </c>
      <c r="R48" s="82">
        <v>1400</v>
      </c>
      <c r="S48" s="82">
        <v>1350</v>
      </c>
      <c r="T48" s="82">
        <v>1300</v>
      </c>
      <c r="U48" s="9"/>
      <c r="V48" s="109">
        <f>SUMIFS($I48:$T48,$I$5:$T$5,V$6)</f>
        <v>3350</v>
      </c>
      <c r="W48" s="109">
        <f t="shared" ref="W48:Y49" si="8">SUMIFS($I48:$T48,$I$5:$T$5,W$6)</f>
        <v>4050</v>
      </c>
      <c r="X48" s="109">
        <f t="shared" si="8"/>
        <v>4550</v>
      </c>
      <c r="Y48" s="109">
        <f t="shared" si="8"/>
        <v>4050</v>
      </c>
      <c r="Z48" s="9"/>
      <c r="AA48" s="109">
        <f>SUM(V48:Y48)</f>
        <v>16000</v>
      </c>
    </row>
    <row r="49" spans="1:28">
      <c r="A49" s="25"/>
      <c r="B49" s="11"/>
      <c r="C49" s="104" t="s">
        <v>19</v>
      </c>
      <c r="D49" s="104"/>
      <c r="E49" s="11"/>
      <c r="F49" s="11"/>
      <c r="G49" s="108" t="s">
        <v>18</v>
      </c>
      <c r="H49" s="11"/>
      <c r="I49" s="82">
        <v>1200</v>
      </c>
      <c r="J49" s="82">
        <v>1070</v>
      </c>
      <c r="K49" s="82">
        <v>1080</v>
      </c>
      <c r="L49" s="82">
        <v>1200</v>
      </c>
      <c r="M49" s="82">
        <v>1350</v>
      </c>
      <c r="N49" s="82">
        <v>1500</v>
      </c>
      <c r="O49" s="82">
        <v>1550</v>
      </c>
      <c r="P49" s="82">
        <v>1550</v>
      </c>
      <c r="Q49" s="82">
        <v>1450</v>
      </c>
      <c r="R49" s="82">
        <v>1400</v>
      </c>
      <c r="S49" s="82">
        <v>1350</v>
      </c>
      <c r="T49" s="82">
        <v>1300</v>
      </c>
      <c r="U49" s="9"/>
      <c r="V49" s="109">
        <f t="shared" ref="V49" si="9">SUMIFS($I49:$T49,$I$5:$T$5,V$6)</f>
        <v>3350</v>
      </c>
      <c r="W49" s="109">
        <f t="shared" si="8"/>
        <v>4050</v>
      </c>
      <c r="X49" s="109">
        <f t="shared" si="8"/>
        <v>4550</v>
      </c>
      <c r="Y49" s="109">
        <f t="shared" si="8"/>
        <v>4050</v>
      </c>
      <c r="Z49" s="9"/>
      <c r="AA49" s="109">
        <f>SUM(V49:Y49)</f>
        <v>16000</v>
      </c>
    </row>
    <row r="50" spans="1:28">
      <c r="A50" s="25"/>
      <c r="B50" s="11"/>
      <c r="C50" s="104" t="s">
        <v>20</v>
      </c>
      <c r="D50" s="104"/>
      <c r="E50" s="11"/>
      <c r="F50" s="11"/>
      <c r="G50" s="108" t="s">
        <v>18</v>
      </c>
      <c r="H50" s="11"/>
      <c r="I50" s="110">
        <f>I48-I49</f>
        <v>0</v>
      </c>
      <c r="J50" s="110">
        <f t="shared" ref="J50:Y50" si="10">J48-J49</f>
        <v>0</v>
      </c>
      <c r="K50" s="110">
        <f t="shared" si="10"/>
        <v>0</v>
      </c>
      <c r="L50" s="110">
        <f t="shared" si="10"/>
        <v>0</v>
      </c>
      <c r="M50" s="110">
        <f t="shared" si="10"/>
        <v>0</v>
      </c>
      <c r="N50" s="110">
        <f t="shared" si="10"/>
        <v>0</v>
      </c>
      <c r="O50" s="110">
        <f t="shared" si="10"/>
        <v>0</v>
      </c>
      <c r="P50" s="110">
        <f t="shared" si="10"/>
        <v>0</v>
      </c>
      <c r="Q50" s="110">
        <f t="shared" si="10"/>
        <v>0</v>
      </c>
      <c r="R50" s="110">
        <f t="shared" si="10"/>
        <v>0</v>
      </c>
      <c r="S50" s="110">
        <f t="shared" si="10"/>
        <v>0</v>
      </c>
      <c r="T50" s="110">
        <f t="shared" si="10"/>
        <v>0</v>
      </c>
      <c r="U50" s="9"/>
      <c r="V50" s="111">
        <f t="shared" si="10"/>
        <v>0</v>
      </c>
      <c r="W50" s="111">
        <f t="shared" si="10"/>
        <v>0</v>
      </c>
      <c r="X50" s="111">
        <f t="shared" si="10"/>
        <v>0</v>
      </c>
      <c r="Y50" s="111">
        <f t="shared" si="10"/>
        <v>0</v>
      </c>
      <c r="Z50" s="9"/>
      <c r="AA50" s="112">
        <f t="shared" ref="AA50" si="11">AA48-AA49</f>
        <v>0</v>
      </c>
    </row>
    <row r="51" spans="1:28" ht="15.75" thickBot="1">
      <c r="A51" s="25"/>
      <c r="B51" s="11"/>
      <c r="C51" s="104" t="s">
        <v>21</v>
      </c>
      <c r="D51" s="104"/>
      <c r="E51" s="11"/>
      <c r="F51" s="11"/>
      <c r="G51" s="11"/>
      <c r="H51" s="11"/>
      <c r="I51" s="113">
        <f>I50/I49</f>
        <v>0</v>
      </c>
      <c r="J51" s="113">
        <f t="shared" ref="J51:Y51" si="12">J50/J49</f>
        <v>0</v>
      </c>
      <c r="K51" s="113">
        <f t="shared" si="12"/>
        <v>0</v>
      </c>
      <c r="L51" s="113">
        <f t="shared" si="12"/>
        <v>0</v>
      </c>
      <c r="M51" s="113">
        <f t="shared" si="12"/>
        <v>0</v>
      </c>
      <c r="N51" s="113">
        <f t="shared" si="12"/>
        <v>0</v>
      </c>
      <c r="O51" s="113">
        <f t="shared" si="12"/>
        <v>0</v>
      </c>
      <c r="P51" s="113">
        <f t="shared" si="12"/>
        <v>0</v>
      </c>
      <c r="Q51" s="113">
        <f t="shared" si="12"/>
        <v>0</v>
      </c>
      <c r="R51" s="113">
        <f t="shared" si="12"/>
        <v>0</v>
      </c>
      <c r="S51" s="113">
        <f t="shared" si="12"/>
        <v>0</v>
      </c>
      <c r="T51" s="113">
        <f t="shared" si="12"/>
        <v>0</v>
      </c>
      <c r="U51" s="9"/>
      <c r="V51" s="113">
        <f t="shared" si="12"/>
        <v>0</v>
      </c>
      <c r="W51" s="113">
        <f t="shared" si="12"/>
        <v>0</v>
      </c>
      <c r="X51" s="113">
        <f t="shared" si="12"/>
        <v>0</v>
      </c>
      <c r="Y51" s="113">
        <f t="shared" si="12"/>
        <v>0</v>
      </c>
      <c r="Z51" s="9"/>
      <c r="AA51" s="114">
        <f t="shared" ref="AA51" si="13">AA50/AA49</f>
        <v>0</v>
      </c>
    </row>
    <row r="52" spans="1:28">
      <c r="A52" s="25"/>
      <c r="B52" s="11"/>
      <c r="C52" s="104"/>
      <c r="D52" s="104"/>
      <c r="E52" s="11"/>
      <c r="F52" s="11"/>
      <c r="G52" s="11"/>
      <c r="H52" s="11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9"/>
      <c r="V52" s="115"/>
      <c r="W52" s="115"/>
      <c r="X52" s="115"/>
      <c r="Y52" s="115"/>
      <c r="Z52" s="9"/>
      <c r="AA52" s="115"/>
    </row>
    <row r="53" spans="1:28">
      <c r="A53" s="25"/>
      <c r="B53" s="11"/>
      <c r="C53" s="75" t="str">
        <f>CONCATENATE($E$6+1," Forecast")</f>
        <v>2026 Forecast</v>
      </c>
      <c r="D53" s="77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9"/>
      <c r="V53" s="115"/>
      <c r="W53" s="115"/>
      <c r="X53" s="115"/>
      <c r="Y53" s="115"/>
      <c r="Z53" s="9"/>
      <c r="AA53" s="115"/>
    </row>
    <row r="54" spans="1:28">
      <c r="A54" s="25"/>
      <c r="B54" s="11"/>
      <c r="C54" s="104" t="s">
        <v>17</v>
      </c>
      <c r="D54" s="104"/>
      <c r="E54" s="11"/>
      <c r="F54" s="11"/>
      <c r="G54" s="108" t="s">
        <v>18</v>
      </c>
      <c r="H54" s="11"/>
      <c r="I54" s="82">
        <v>1350</v>
      </c>
      <c r="J54" s="82">
        <v>1250</v>
      </c>
      <c r="K54" s="82">
        <v>1350</v>
      </c>
      <c r="L54" s="82">
        <v>1400</v>
      </c>
      <c r="M54" s="82">
        <v>1525</v>
      </c>
      <c r="N54" s="82">
        <v>1650</v>
      </c>
      <c r="O54" s="82">
        <v>1700</v>
      </c>
      <c r="P54" s="82">
        <v>1680</v>
      </c>
      <c r="Q54" s="82">
        <v>1590</v>
      </c>
      <c r="R54" s="82">
        <v>1550</v>
      </c>
      <c r="S54" s="82">
        <v>1525</v>
      </c>
      <c r="T54" s="82">
        <v>1440</v>
      </c>
      <c r="U54" s="9"/>
      <c r="V54" s="109">
        <f>SUMIFS($I54:$T54,$I$5:$T$5,V$6)</f>
        <v>3950</v>
      </c>
      <c r="W54" s="109">
        <f t="shared" ref="W54:Y55" si="14">SUMIFS($I54:$T54,$I$5:$T$5,W$6)</f>
        <v>4575</v>
      </c>
      <c r="X54" s="109">
        <f t="shared" si="14"/>
        <v>4970</v>
      </c>
      <c r="Y54" s="109">
        <f t="shared" si="14"/>
        <v>4515</v>
      </c>
      <c r="Z54" s="9"/>
      <c r="AA54" s="109">
        <f>SUM(V54:Y54)</f>
        <v>18010</v>
      </c>
    </row>
    <row r="55" spans="1:28">
      <c r="A55" s="25"/>
      <c r="B55" s="11"/>
      <c r="C55" s="104" t="s">
        <v>19</v>
      </c>
      <c r="D55" s="104"/>
      <c r="E55" s="11"/>
      <c r="F55" s="11"/>
      <c r="G55" s="108" t="s">
        <v>18</v>
      </c>
      <c r="H55" s="11"/>
      <c r="I55" s="116">
        <v>1350</v>
      </c>
      <c r="J55" s="116">
        <v>1250</v>
      </c>
      <c r="K55" s="116">
        <v>1350</v>
      </c>
      <c r="L55" s="116">
        <v>1400</v>
      </c>
      <c r="M55" s="116">
        <v>1525</v>
      </c>
      <c r="N55" s="116">
        <v>1650</v>
      </c>
      <c r="O55" s="116">
        <v>1700</v>
      </c>
      <c r="P55" s="116">
        <v>1680</v>
      </c>
      <c r="Q55" s="116">
        <v>1590</v>
      </c>
      <c r="R55" s="116">
        <v>1550</v>
      </c>
      <c r="S55" s="116">
        <v>1525</v>
      </c>
      <c r="T55" s="116">
        <v>1440</v>
      </c>
      <c r="U55" s="9"/>
      <c r="V55" s="109">
        <f t="shared" ref="V55" si="15">SUMIFS($I55:$T55,$I$5:$T$5,V$6)</f>
        <v>3950</v>
      </c>
      <c r="W55" s="109">
        <f t="shared" si="14"/>
        <v>4575</v>
      </c>
      <c r="X55" s="109">
        <f t="shared" si="14"/>
        <v>4970</v>
      </c>
      <c r="Y55" s="109">
        <f t="shared" si="14"/>
        <v>4515</v>
      </c>
      <c r="Z55" s="9"/>
      <c r="AA55" s="109">
        <f>SUM(V55:Y55)</f>
        <v>18010</v>
      </c>
    </row>
    <row r="56" spans="1:28">
      <c r="A56" s="25"/>
      <c r="B56" s="11"/>
      <c r="C56" s="104" t="s">
        <v>20</v>
      </c>
      <c r="D56" s="104"/>
      <c r="E56" s="11"/>
      <c r="F56" s="11"/>
      <c r="G56" s="108" t="s">
        <v>18</v>
      </c>
      <c r="H56" s="11"/>
      <c r="I56" s="73">
        <f t="shared" ref="I56:Y56" si="16">I54-I55</f>
        <v>0</v>
      </c>
      <c r="J56" s="73">
        <f t="shared" si="16"/>
        <v>0</v>
      </c>
      <c r="K56" s="73">
        <f t="shared" si="16"/>
        <v>0</v>
      </c>
      <c r="L56" s="73">
        <f t="shared" si="16"/>
        <v>0</v>
      </c>
      <c r="M56" s="73">
        <f t="shared" si="16"/>
        <v>0</v>
      </c>
      <c r="N56" s="73">
        <f t="shared" si="16"/>
        <v>0</v>
      </c>
      <c r="O56" s="73">
        <f t="shared" si="16"/>
        <v>0</v>
      </c>
      <c r="P56" s="73">
        <f t="shared" si="16"/>
        <v>0</v>
      </c>
      <c r="Q56" s="73">
        <f t="shared" si="16"/>
        <v>0</v>
      </c>
      <c r="R56" s="73">
        <f t="shared" si="16"/>
        <v>0</v>
      </c>
      <c r="S56" s="73">
        <f t="shared" si="16"/>
        <v>0</v>
      </c>
      <c r="T56" s="73">
        <f t="shared" si="16"/>
        <v>0</v>
      </c>
      <c r="U56" s="9"/>
      <c r="V56" s="111">
        <f t="shared" si="16"/>
        <v>0</v>
      </c>
      <c r="W56" s="111">
        <f t="shared" si="16"/>
        <v>0</v>
      </c>
      <c r="X56" s="111">
        <f t="shared" si="16"/>
        <v>0</v>
      </c>
      <c r="Y56" s="111">
        <f t="shared" si="16"/>
        <v>0</v>
      </c>
      <c r="Z56" s="9"/>
      <c r="AA56" s="111">
        <f t="shared" ref="AA56" si="17">AA54-AA55</f>
        <v>0</v>
      </c>
    </row>
    <row r="57" spans="1:28" ht="15.75" thickBot="1">
      <c r="A57" s="25"/>
      <c r="B57" s="11"/>
      <c r="C57" s="104" t="s">
        <v>21</v>
      </c>
      <c r="D57" s="104"/>
      <c r="E57" s="11"/>
      <c r="F57" s="11"/>
      <c r="G57" s="11"/>
      <c r="H57" s="11"/>
      <c r="I57" s="113">
        <f t="shared" ref="I57:Y57" si="18">I56/I55</f>
        <v>0</v>
      </c>
      <c r="J57" s="113">
        <f t="shared" si="18"/>
        <v>0</v>
      </c>
      <c r="K57" s="113">
        <f t="shared" si="18"/>
        <v>0</v>
      </c>
      <c r="L57" s="113">
        <f t="shared" si="18"/>
        <v>0</v>
      </c>
      <c r="M57" s="113">
        <f t="shared" si="18"/>
        <v>0</v>
      </c>
      <c r="N57" s="113">
        <f t="shared" si="18"/>
        <v>0</v>
      </c>
      <c r="O57" s="113">
        <f t="shared" si="18"/>
        <v>0</v>
      </c>
      <c r="P57" s="113">
        <f t="shared" si="18"/>
        <v>0</v>
      </c>
      <c r="Q57" s="113">
        <f t="shared" si="18"/>
        <v>0</v>
      </c>
      <c r="R57" s="113">
        <f t="shared" si="18"/>
        <v>0</v>
      </c>
      <c r="S57" s="113">
        <f t="shared" si="18"/>
        <v>0</v>
      </c>
      <c r="T57" s="113">
        <f t="shared" si="18"/>
        <v>0</v>
      </c>
      <c r="U57" s="9"/>
      <c r="V57" s="113">
        <f t="shared" si="18"/>
        <v>0</v>
      </c>
      <c r="W57" s="113">
        <f t="shared" si="18"/>
        <v>0</v>
      </c>
      <c r="X57" s="113">
        <f t="shared" si="18"/>
        <v>0</v>
      </c>
      <c r="Y57" s="113">
        <f t="shared" si="18"/>
        <v>0</v>
      </c>
      <c r="Z57" s="9"/>
      <c r="AA57" s="113">
        <f t="shared" ref="AA57" si="19">AA56/AA55</f>
        <v>0</v>
      </c>
    </row>
    <row r="61" spans="1:28" ht="18">
      <c r="A61" s="1"/>
      <c r="B61" s="11"/>
      <c r="C61" s="117" t="s">
        <v>22</v>
      </c>
      <c r="D61" s="118"/>
      <c r="E61" s="5"/>
      <c r="F61" s="5"/>
      <c r="G61" s="5"/>
      <c r="H61" s="5"/>
      <c r="I61" s="119"/>
      <c r="J61" s="120"/>
      <c r="K61" s="120"/>
      <c r="L61" s="5"/>
      <c r="M61" s="5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11"/>
    </row>
    <row r="62" spans="1:28">
      <c r="A62" s="1"/>
      <c r="B62" s="121"/>
      <c r="C62" s="121"/>
      <c r="D62" s="12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15.75" thickBot="1">
      <c r="A63" s="25"/>
      <c r="B63" s="90"/>
      <c r="C63" s="122" t="s">
        <v>9</v>
      </c>
      <c r="D63" s="122"/>
      <c r="E63" s="76"/>
      <c r="F63" s="76"/>
      <c r="G63" s="76"/>
      <c r="H63" s="9"/>
      <c r="I63" s="92">
        <f>I$6</f>
        <v>45658</v>
      </c>
      <c r="J63" s="93">
        <f t="shared" ref="J63:Y63" si="20">J$6</f>
        <v>45689</v>
      </c>
      <c r="K63" s="93">
        <f t="shared" si="20"/>
        <v>45717</v>
      </c>
      <c r="L63" s="94">
        <f t="shared" si="20"/>
        <v>45748</v>
      </c>
      <c r="M63" s="93">
        <f t="shared" si="20"/>
        <v>45778</v>
      </c>
      <c r="N63" s="93">
        <f t="shared" si="20"/>
        <v>45809</v>
      </c>
      <c r="O63" s="94">
        <f t="shared" si="20"/>
        <v>45839</v>
      </c>
      <c r="P63" s="93">
        <f t="shared" si="20"/>
        <v>45870</v>
      </c>
      <c r="Q63" s="93">
        <f t="shared" si="20"/>
        <v>45901</v>
      </c>
      <c r="R63" s="94">
        <f t="shared" si="20"/>
        <v>45931</v>
      </c>
      <c r="S63" s="93">
        <f t="shared" si="20"/>
        <v>45962</v>
      </c>
      <c r="T63" s="93">
        <f t="shared" si="20"/>
        <v>45992</v>
      </c>
      <c r="U63" s="33"/>
      <c r="V63" s="95">
        <f t="shared" si="20"/>
        <v>1</v>
      </c>
      <c r="W63" s="96">
        <f t="shared" si="20"/>
        <v>2</v>
      </c>
      <c r="X63" s="96">
        <f t="shared" si="20"/>
        <v>3</v>
      </c>
      <c r="Y63" s="96">
        <f t="shared" si="20"/>
        <v>4</v>
      </c>
      <c r="Z63" s="97"/>
      <c r="AA63" s="98" t="s">
        <v>3</v>
      </c>
      <c r="AB63" s="2"/>
    </row>
    <row r="64" spans="1:28">
      <c r="A64" s="3"/>
      <c r="B64" s="7"/>
      <c r="C64" s="99"/>
      <c r="D64" s="99"/>
      <c r="E64" s="7"/>
      <c r="F64" s="68"/>
      <c r="G64" s="68"/>
      <c r="H64" s="68"/>
      <c r="I64" s="100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39"/>
      <c r="U64" s="10"/>
      <c r="V64" s="102"/>
      <c r="W64" s="103"/>
      <c r="X64" s="103"/>
      <c r="Y64" s="103"/>
      <c r="Z64" s="10"/>
      <c r="AA64" s="102"/>
      <c r="AB64" s="10"/>
    </row>
    <row r="65" spans="1:28">
      <c r="A65" s="1"/>
      <c r="B65" s="11"/>
      <c r="C65" s="123" t="s">
        <v>23</v>
      </c>
      <c r="D65" s="86"/>
      <c r="E65" s="124" t="s">
        <v>5</v>
      </c>
      <c r="F65" s="125" t="s">
        <v>24</v>
      </c>
      <c r="G65" s="126" t="str">
        <f>$E$9</f>
        <v>YEARS</v>
      </c>
      <c r="H65" s="127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1"/>
      <c r="V65" s="11"/>
      <c r="W65" s="11"/>
      <c r="X65" s="11"/>
      <c r="Y65" s="11"/>
      <c r="Z65" s="11"/>
      <c r="AA65" s="11"/>
      <c r="AB65" s="11"/>
    </row>
    <row r="66" spans="1:28">
      <c r="A66" s="1"/>
      <c r="B66" s="11"/>
      <c r="C66" s="129">
        <f>C67-1</f>
        <v>2022</v>
      </c>
      <c r="D66" s="55"/>
      <c r="E66" s="130">
        <v>1</v>
      </c>
      <c r="F66" s="131">
        <v>0</v>
      </c>
      <c r="G66" s="132">
        <f>INDEX(E66:F66, MATCH(G$65, E$65:F$65, 0))</f>
        <v>1</v>
      </c>
      <c r="H66" s="133"/>
      <c r="I66" s="134">
        <v>695</v>
      </c>
      <c r="J66" s="135">
        <v>596</v>
      </c>
      <c r="K66" s="135">
        <v>511</v>
      </c>
      <c r="L66" s="135">
        <v>632</v>
      </c>
      <c r="M66" s="135">
        <v>772</v>
      </c>
      <c r="N66" s="135">
        <v>1023</v>
      </c>
      <c r="O66" s="135">
        <v>1072</v>
      </c>
      <c r="P66" s="135">
        <v>1056</v>
      </c>
      <c r="Q66" s="135">
        <v>888</v>
      </c>
      <c r="R66" s="135">
        <v>894</v>
      </c>
      <c r="S66" s="135">
        <v>886</v>
      </c>
      <c r="T66" s="136">
        <v>721</v>
      </c>
      <c r="U66" s="11"/>
      <c r="V66" s="137">
        <f t="shared" ref="V66:Y71" si="21">SUMIFS($I66:$T66,$I$5:$T$5,V$6)</f>
        <v>1802</v>
      </c>
      <c r="W66" s="138">
        <f t="shared" si="21"/>
        <v>2427</v>
      </c>
      <c r="X66" s="138">
        <f t="shared" si="21"/>
        <v>3016</v>
      </c>
      <c r="Y66" s="139">
        <f t="shared" si="21"/>
        <v>2501</v>
      </c>
      <c r="Z66" s="11"/>
      <c r="AA66" s="140">
        <f t="shared" ref="AA66:AA71" si="22">SUM(V66:Y66)</f>
        <v>9746</v>
      </c>
      <c r="AB66" s="11"/>
    </row>
    <row r="67" spans="1:28">
      <c r="A67" s="1"/>
      <c r="B67" s="11"/>
      <c r="C67" s="129">
        <f>C68-1</f>
        <v>2023</v>
      </c>
      <c r="D67" s="55"/>
      <c r="E67" s="141">
        <v>1</v>
      </c>
      <c r="F67" s="142">
        <v>0</v>
      </c>
      <c r="G67" s="143">
        <f t="shared" ref="G67:G71" si="23">INDEX(E67:F67, MATCH(G$65, E$65:F$65, 0))</f>
        <v>1</v>
      </c>
      <c r="H67" s="55"/>
      <c r="I67" s="144">
        <v>920</v>
      </c>
      <c r="J67" s="128">
        <v>738</v>
      </c>
      <c r="K67" s="128">
        <v>712</v>
      </c>
      <c r="L67" s="128">
        <v>799</v>
      </c>
      <c r="M67" s="128">
        <v>997</v>
      </c>
      <c r="N67" s="128">
        <v>1185</v>
      </c>
      <c r="O67" s="128">
        <v>1230</v>
      </c>
      <c r="P67" s="128">
        <v>1267</v>
      </c>
      <c r="Q67" s="128">
        <v>1083</v>
      </c>
      <c r="R67" s="128">
        <v>1076</v>
      </c>
      <c r="S67" s="128">
        <v>1046</v>
      </c>
      <c r="T67" s="145">
        <v>912</v>
      </c>
      <c r="U67" s="11"/>
      <c r="V67" s="146">
        <f t="shared" si="21"/>
        <v>2370</v>
      </c>
      <c r="W67" s="147">
        <f t="shared" si="21"/>
        <v>2981</v>
      </c>
      <c r="X67" s="147">
        <f t="shared" si="21"/>
        <v>3580</v>
      </c>
      <c r="Y67" s="148">
        <f t="shared" si="21"/>
        <v>3034</v>
      </c>
      <c r="Z67" s="11"/>
      <c r="AA67" s="149">
        <f t="shared" si="22"/>
        <v>11965</v>
      </c>
      <c r="AB67" s="11"/>
    </row>
    <row r="68" spans="1:28">
      <c r="A68" s="1"/>
      <c r="B68" s="11"/>
      <c r="C68" s="129">
        <f>C69-1</f>
        <v>2024</v>
      </c>
      <c r="D68" s="55"/>
      <c r="E68" s="141">
        <v>1</v>
      </c>
      <c r="F68" s="142">
        <v>0</v>
      </c>
      <c r="G68" s="143">
        <f t="shared" si="23"/>
        <v>1</v>
      </c>
      <c r="H68" s="55"/>
      <c r="I68" s="144">
        <v>1088</v>
      </c>
      <c r="J68" s="128">
        <v>947</v>
      </c>
      <c r="K68" s="128">
        <v>928</v>
      </c>
      <c r="L68" s="128">
        <v>1031</v>
      </c>
      <c r="M68" s="128">
        <v>1226</v>
      </c>
      <c r="N68" s="128">
        <v>1428</v>
      </c>
      <c r="O68" s="128">
        <v>1442</v>
      </c>
      <c r="P68" s="128">
        <v>1485</v>
      </c>
      <c r="Q68" s="128">
        <v>1321</v>
      </c>
      <c r="R68" s="128">
        <v>1313</v>
      </c>
      <c r="S68" s="128">
        <v>1264</v>
      </c>
      <c r="T68" s="145">
        <v>1124</v>
      </c>
      <c r="U68" s="11"/>
      <c r="V68" s="150">
        <f t="shared" si="21"/>
        <v>2963</v>
      </c>
      <c r="W68" s="151">
        <f t="shared" si="21"/>
        <v>3685</v>
      </c>
      <c r="X68" s="151">
        <f t="shared" si="21"/>
        <v>4248</v>
      </c>
      <c r="Y68" s="152">
        <f t="shared" si="21"/>
        <v>3701</v>
      </c>
      <c r="Z68" s="11"/>
      <c r="AA68" s="149">
        <f t="shared" si="22"/>
        <v>14597</v>
      </c>
      <c r="AB68" s="11"/>
    </row>
    <row r="69" spans="1:28">
      <c r="A69" s="1"/>
      <c r="B69" s="11"/>
      <c r="C69" s="153">
        <f>$E$6</f>
        <v>2025</v>
      </c>
      <c r="D69" s="55"/>
      <c r="E69" s="154">
        <v>1</v>
      </c>
      <c r="F69" s="155">
        <v>1</v>
      </c>
      <c r="G69" s="156">
        <f t="shared" si="23"/>
        <v>1</v>
      </c>
      <c r="H69" s="55"/>
      <c r="I69" s="157">
        <f>I48</f>
        <v>1200</v>
      </c>
      <c r="J69" s="158">
        <f t="shared" ref="J69:T69" si="24">J48</f>
        <v>1070</v>
      </c>
      <c r="K69" s="158">
        <f t="shared" si="24"/>
        <v>1080</v>
      </c>
      <c r="L69" s="158">
        <f t="shared" si="24"/>
        <v>1200</v>
      </c>
      <c r="M69" s="158">
        <f t="shared" si="24"/>
        <v>1350</v>
      </c>
      <c r="N69" s="158">
        <f t="shared" si="24"/>
        <v>1500</v>
      </c>
      <c r="O69" s="158">
        <f t="shared" si="24"/>
        <v>1550</v>
      </c>
      <c r="P69" s="158">
        <f t="shared" si="24"/>
        <v>1550</v>
      </c>
      <c r="Q69" s="158">
        <f t="shared" si="24"/>
        <v>1450</v>
      </c>
      <c r="R69" s="158">
        <f t="shared" si="24"/>
        <v>1400</v>
      </c>
      <c r="S69" s="158">
        <f t="shared" si="24"/>
        <v>1350</v>
      </c>
      <c r="T69" s="159">
        <f t="shared" si="24"/>
        <v>1300</v>
      </c>
      <c r="U69" s="11"/>
      <c r="V69" s="146">
        <f t="shared" si="21"/>
        <v>3350</v>
      </c>
      <c r="W69" s="147">
        <f t="shared" si="21"/>
        <v>4050</v>
      </c>
      <c r="X69" s="147">
        <f t="shared" si="21"/>
        <v>4550</v>
      </c>
      <c r="Y69" s="148">
        <f t="shared" si="21"/>
        <v>4050</v>
      </c>
      <c r="Z69" s="11"/>
      <c r="AA69" s="160">
        <f t="shared" si="22"/>
        <v>16000</v>
      </c>
      <c r="AB69" s="11"/>
    </row>
    <row r="70" spans="1:28">
      <c r="A70" s="1"/>
      <c r="B70" s="11"/>
      <c r="C70" s="161">
        <f>C69+1</f>
        <v>2026</v>
      </c>
      <c r="D70" s="55"/>
      <c r="E70" s="141">
        <v>1</v>
      </c>
      <c r="F70" s="142">
        <v>0</v>
      </c>
      <c r="G70" s="143">
        <f t="shared" si="23"/>
        <v>1</v>
      </c>
      <c r="H70" s="55"/>
      <c r="I70" s="162">
        <f>I54</f>
        <v>1350</v>
      </c>
      <c r="J70" s="163">
        <f t="shared" ref="J70:T70" si="25">J54</f>
        <v>1250</v>
      </c>
      <c r="K70" s="163">
        <f t="shared" si="25"/>
        <v>1350</v>
      </c>
      <c r="L70" s="163">
        <f t="shared" si="25"/>
        <v>1400</v>
      </c>
      <c r="M70" s="163">
        <f t="shared" si="25"/>
        <v>1525</v>
      </c>
      <c r="N70" s="163">
        <f t="shared" si="25"/>
        <v>1650</v>
      </c>
      <c r="O70" s="163">
        <f t="shared" si="25"/>
        <v>1700</v>
      </c>
      <c r="P70" s="163">
        <f t="shared" si="25"/>
        <v>1680</v>
      </c>
      <c r="Q70" s="163">
        <f t="shared" si="25"/>
        <v>1590</v>
      </c>
      <c r="R70" s="163">
        <f t="shared" si="25"/>
        <v>1550</v>
      </c>
      <c r="S70" s="163">
        <f t="shared" si="25"/>
        <v>1525</v>
      </c>
      <c r="T70" s="164">
        <f t="shared" si="25"/>
        <v>1440</v>
      </c>
      <c r="U70" s="11"/>
      <c r="V70" s="137">
        <f t="shared" si="21"/>
        <v>3950</v>
      </c>
      <c r="W70" s="138">
        <f t="shared" si="21"/>
        <v>4575</v>
      </c>
      <c r="X70" s="138">
        <f t="shared" si="21"/>
        <v>4970</v>
      </c>
      <c r="Y70" s="139">
        <f t="shared" si="21"/>
        <v>4515</v>
      </c>
      <c r="Z70" s="11"/>
      <c r="AA70" s="149">
        <f t="shared" si="22"/>
        <v>18010</v>
      </c>
      <c r="AB70" s="11"/>
    </row>
    <row r="71" spans="1:28">
      <c r="A71" s="165"/>
      <c r="B71" s="37"/>
      <c r="C71" s="129" t="s">
        <v>25</v>
      </c>
      <c r="D71" s="55"/>
      <c r="E71" s="166">
        <v>0</v>
      </c>
      <c r="F71" s="167">
        <v>1</v>
      </c>
      <c r="G71" s="168">
        <f t="shared" si="23"/>
        <v>0</v>
      </c>
      <c r="H71" s="55"/>
      <c r="I71" s="169">
        <v>1200</v>
      </c>
      <c r="J71" s="170">
        <v>1070</v>
      </c>
      <c r="K71" s="170">
        <v>1080</v>
      </c>
      <c r="L71" s="170">
        <v>1200</v>
      </c>
      <c r="M71" s="170">
        <v>1350</v>
      </c>
      <c r="N71" s="170">
        <v>1500</v>
      </c>
      <c r="O71" s="170">
        <v>1550</v>
      </c>
      <c r="P71" s="170">
        <v>1550</v>
      </c>
      <c r="Q71" s="170">
        <v>1450</v>
      </c>
      <c r="R71" s="170">
        <v>1400</v>
      </c>
      <c r="S71" s="170">
        <v>1350</v>
      </c>
      <c r="T71" s="170">
        <v>1300</v>
      </c>
      <c r="U71" s="171"/>
      <c r="V71" s="172">
        <f t="shared" si="21"/>
        <v>3350</v>
      </c>
      <c r="W71" s="173">
        <f t="shared" si="21"/>
        <v>4050</v>
      </c>
      <c r="X71" s="173">
        <f t="shared" si="21"/>
        <v>4550</v>
      </c>
      <c r="Y71" s="173">
        <f t="shared" si="21"/>
        <v>4050</v>
      </c>
      <c r="Z71" s="171"/>
      <c r="AA71" s="172">
        <f t="shared" si="22"/>
        <v>16000</v>
      </c>
      <c r="AB71" s="171"/>
    </row>
    <row r="72" spans="1:28">
      <c r="A72" s="1"/>
      <c r="B72" s="11"/>
      <c r="C72" s="174"/>
      <c r="D72" s="174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>
      <c r="A73" s="1"/>
      <c r="B73" s="11"/>
      <c r="C73" s="174"/>
      <c r="D73" s="174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>
      <c r="A74" s="1"/>
      <c r="B74" s="11"/>
      <c r="C74" s="123" t="s">
        <v>23</v>
      </c>
      <c r="D74" s="86"/>
      <c r="E74" s="127"/>
      <c r="F74" s="127"/>
      <c r="G74" s="175" t="str">
        <f>$E$9</f>
        <v>YEARS</v>
      </c>
      <c r="H74" s="1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>
      <c r="A75" s="1"/>
      <c r="B75" s="11"/>
      <c r="C75" s="129">
        <f>C66</f>
        <v>2022</v>
      </c>
      <c r="D75" s="55"/>
      <c r="E75" s="55"/>
      <c r="F75" s="55"/>
      <c r="G75" s="132">
        <f>G66</f>
        <v>1</v>
      </c>
      <c r="H75" s="55"/>
      <c r="I75" s="176">
        <f>IF($G75=0,NA(),I66)</f>
        <v>695</v>
      </c>
      <c r="J75" s="177">
        <f t="shared" ref="J75:Y77" si="26">IF($G75=0,NA(),J66)</f>
        <v>596</v>
      </c>
      <c r="K75" s="177">
        <f t="shared" si="26"/>
        <v>511</v>
      </c>
      <c r="L75" s="177">
        <f t="shared" si="26"/>
        <v>632</v>
      </c>
      <c r="M75" s="177">
        <f t="shared" si="26"/>
        <v>772</v>
      </c>
      <c r="N75" s="177">
        <f t="shared" si="26"/>
        <v>1023</v>
      </c>
      <c r="O75" s="177">
        <f t="shared" si="26"/>
        <v>1072</v>
      </c>
      <c r="P75" s="177">
        <f t="shared" si="26"/>
        <v>1056</v>
      </c>
      <c r="Q75" s="177">
        <f t="shared" si="26"/>
        <v>888</v>
      </c>
      <c r="R75" s="177">
        <f t="shared" si="26"/>
        <v>894</v>
      </c>
      <c r="S75" s="177">
        <f t="shared" si="26"/>
        <v>886</v>
      </c>
      <c r="T75" s="178">
        <f t="shared" si="26"/>
        <v>721</v>
      </c>
      <c r="U75" s="11"/>
      <c r="V75" s="176">
        <f t="shared" si="26"/>
        <v>1802</v>
      </c>
      <c r="W75" s="177">
        <f t="shared" si="26"/>
        <v>2427</v>
      </c>
      <c r="X75" s="177">
        <f t="shared" si="26"/>
        <v>3016</v>
      </c>
      <c r="Y75" s="178">
        <f t="shared" si="26"/>
        <v>2501</v>
      </c>
      <c r="Z75" s="11"/>
      <c r="AA75" s="176">
        <f t="shared" ref="AA75:AA81" si="27">SUM(V75:Y75)</f>
        <v>9746</v>
      </c>
      <c r="AB75" s="178">
        <f>AA75</f>
        <v>9746</v>
      </c>
    </row>
    <row r="76" spans="1:28">
      <c r="A76" s="1"/>
      <c r="B76" s="11"/>
      <c r="C76" s="129">
        <f>C67</f>
        <v>2023</v>
      </c>
      <c r="D76" s="55"/>
      <c r="E76" s="55"/>
      <c r="F76" s="55"/>
      <c r="G76" s="143">
        <f t="shared" ref="G76:G78" si="28">G67</f>
        <v>1</v>
      </c>
      <c r="H76" s="55"/>
      <c r="I76" s="162">
        <f t="shared" ref="I76:X77" si="29">IF($G76=0,NA(),I67)</f>
        <v>920</v>
      </c>
      <c r="J76" s="163">
        <f t="shared" si="29"/>
        <v>738</v>
      </c>
      <c r="K76" s="163">
        <f t="shared" si="29"/>
        <v>712</v>
      </c>
      <c r="L76" s="163">
        <f t="shared" si="29"/>
        <v>799</v>
      </c>
      <c r="M76" s="163">
        <f t="shared" si="29"/>
        <v>997</v>
      </c>
      <c r="N76" s="163">
        <f t="shared" si="29"/>
        <v>1185</v>
      </c>
      <c r="O76" s="163">
        <f t="shared" si="29"/>
        <v>1230</v>
      </c>
      <c r="P76" s="163">
        <f t="shared" si="29"/>
        <v>1267</v>
      </c>
      <c r="Q76" s="163">
        <f t="shared" si="29"/>
        <v>1083</v>
      </c>
      <c r="R76" s="163">
        <f t="shared" si="29"/>
        <v>1076</v>
      </c>
      <c r="S76" s="163">
        <f t="shared" si="29"/>
        <v>1046</v>
      </c>
      <c r="T76" s="164">
        <f t="shared" si="29"/>
        <v>912</v>
      </c>
      <c r="U76" s="11"/>
      <c r="V76" s="162">
        <f t="shared" si="29"/>
        <v>2370</v>
      </c>
      <c r="W76" s="163">
        <f t="shared" si="29"/>
        <v>2981</v>
      </c>
      <c r="X76" s="163">
        <f t="shared" si="29"/>
        <v>3580</v>
      </c>
      <c r="Y76" s="164">
        <f t="shared" si="26"/>
        <v>3034</v>
      </c>
      <c r="Z76" s="11"/>
      <c r="AA76" s="162">
        <f t="shared" si="27"/>
        <v>11965</v>
      </c>
      <c r="AB76" s="164">
        <f t="shared" ref="AB76:AB81" si="30">AA76</f>
        <v>11965</v>
      </c>
    </row>
    <row r="77" spans="1:28">
      <c r="A77" s="1"/>
      <c r="B77" s="11"/>
      <c r="C77" s="129">
        <f>C68</f>
        <v>2024</v>
      </c>
      <c r="D77" s="55"/>
      <c r="E77" s="55"/>
      <c r="F77" s="55"/>
      <c r="G77" s="143">
        <f t="shared" si="28"/>
        <v>1</v>
      </c>
      <c r="H77" s="55"/>
      <c r="I77" s="162">
        <f t="shared" si="29"/>
        <v>1088</v>
      </c>
      <c r="J77" s="163">
        <f t="shared" si="26"/>
        <v>947</v>
      </c>
      <c r="K77" s="163">
        <f t="shared" si="26"/>
        <v>928</v>
      </c>
      <c r="L77" s="163">
        <f t="shared" si="26"/>
        <v>1031</v>
      </c>
      <c r="M77" s="163">
        <f t="shared" si="26"/>
        <v>1226</v>
      </c>
      <c r="N77" s="163">
        <f t="shared" si="26"/>
        <v>1428</v>
      </c>
      <c r="O77" s="163">
        <f t="shared" si="26"/>
        <v>1442</v>
      </c>
      <c r="P77" s="163">
        <f t="shared" si="26"/>
        <v>1485</v>
      </c>
      <c r="Q77" s="163">
        <f t="shared" si="26"/>
        <v>1321</v>
      </c>
      <c r="R77" s="163">
        <f t="shared" si="26"/>
        <v>1313</v>
      </c>
      <c r="S77" s="163">
        <f t="shared" si="26"/>
        <v>1264</v>
      </c>
      <c r="T77" s="164">
        <f t="shared" si="26"/>
        <v>1124</v>
      </c>
      <c r="U77" s="11"/>
      <c r="V77" s="162">
        <f t="shared" si="26"/>
        <v>2963</v>
      </c>
      <c r="W77" s="163">
        <f t="shared" si="26"/>
        <v>3685</v>
      </c>
      <c r="X77" s="163">
        <f t="shared" si="26"/>
        <v>4248</v>
      </c>
      <c r="Y77" s="164">
        <f t="shared" si="26"/>
        <v>3701</v>
      </c>
      <c r="Z77" s="11"/>
      <c r="AA77" s="162">
        <f t="shared" si="27"/>
        <v>14597</v>
      </c>
      <c r="AB77" s="164">
        <f t="shared" si="30"/>
        <v>14597</v>
      </c>
    </row>
    <row r="78" spans="1:28">
      <c r="A78" s="1"/>
      <c r="B78" s="11"/>
      <c r="C78" s="179">
        <f>C69</f>
        <v>2025</v>
      </c>
      <c r="D78" s="180" t="s">
        <v>7</v>
      </c>
      <c r="E78" s="11"/>
      <c r="F78" s="55"/>
      <c r="G78" s="181">
        <f t="shared" si="28"/>
        <v>1</v>
      </c>
      <c r="H78" s="55"/>
      <c r="I78" s="176">
        <f>IF($G78=0,NA(),IFERROR(I69/I47,NA()))</f>
        <v>1200</v>
      </c>
      <c r="J78" s="177">
        <f t="shared" ref="J78:Y78" si="31">IF($G78=0,NA(),IFERROR(J69/J47,NA()))</f>
        <v>1070</v>
      </c>
      <c r="K78" s="177">
        <f t="shared" si="31"/>
        <v>1080</v>
      </c>
      <c r="L78" s="177">
        <f t="shared" si="31"/>
        <v>1200</v>
      </c>
      <c r="M78" s="177">
        <f t="shared" si="31"/>
        <v>1350</v>
      </c>
      <c r="N78" s="177">
        <f t="shared" si="31"/>
        <v>1500</v>
      </c>
      <c r="O78" s="177">
        <f t="shared" si="31"/>
        <v>1550</v>
      </c>
      <c r="P78" s="177">
        <f t="shared" si="31"/>
        <v>1550</v>
      </c>
      <c r="Q78" s="177">
        <f t="shared" si="31"/>
        <v>1450</v>
      </c>
      <c r="R78" s="177">
        <f t="shared" si="31"/>
        <v>1400</v>
      </c>
      <c r="S78" s="177">
        <f t="shared" si="31"/>
        <v>1350</v>
      </c>
      <c r="T78" s="178">
        <f t="shared" si="31"/>
        <v>1300</v>
      </c>
      <c r="U78" s="11"/>
      <c r="V78" s="176">
        <f t="shared" si="31"/>
        <v>3350</v>
      </c>
      <c r="W78" s="177">
        <f t="shared" si="31"/>
        <v>4050</v>
      </c>
      <c r="X78" s="177">
        <f t="shared" si="31"/>
        <v>4550</v>
      </c>
      <c r="Y78" s="178">
        <f t="shared" si="31"/>
        <v>4050</v>
      </c>
      <c r="Z78" s="11"/>
      <c r="AA78" s="176">
        <f t="shared" si="27"/>
        <v>16000</v>
      </c>
      <c r="AB78" s="178">
        <f t="shared" si="30"/>
        <v>16000</v>
      </c>
    </row>
    <row r="79" spans="1:28">
      <c r="A79" s="1"/>
      <c r="B79" s="11"/>
      <c r="C79" s="182">
        <f>$C$78</f>
        <v>2025</v>
      </c>
      <c r="D79" s="183" t="s">
        <v>6</v>
      </c>
      <c r="E79" s="11"/>
      <c r="F79" s="55"/>
      <c r="G79" s="143">
        <f>G78</f>
        <v>1</v>
      </c>
      <c r="H79" s="55"/>
      <c r="I79" s="172">
        <f>IF($G79=0,NA(),I69)</f>
        <v>1200</v>
      </c>
      <c r="J79" s="173">
        <f t="shared" ref="J79:Y81" si="32">IF($G79=0,NA(),J69)</f>
        <v>1070</v>
      </c>
      <c r="K79" s="173">
        <f t="shared" si="32"/>
        <v>1080</v>
      </c>
      <c r="L79" s="173">
        <f t="shared" si="32"/>
        <v>1200</v>
      </c>
      <c r="M79" s="173">
        <f t="shared" si="32"/>
        <v>1350</v>
      </c>
      <c r="N79" s="173">
        <f t="shared" si="32"/>
        <v>1500</v>
      </c>
      <c r="O79" s="173">
        <f t="shared" si="32"/>
        <v>1550</v>
      </c>
      <c r="P79" s="173">
        <f t="shared" si="32"/>
        <v>1550</v>
      </c>
      <c r="Q79" s="173">
        <f t="shared" si="32"/>
        <v>1450</v>
      </c>
      <c r="R79" s="173">
        <f t="shared" si="32"/>
        <v>1400</v>
      </c>
      <c r="S79" s="173">
        <f t="shared" si="32"/>
        <v>1350</v>
      </c>
      <c r="T79" s="184">
        <f t="shared" si="32"/>
        <v>1300</v>
      </c>
      <c r="U79" s="11"/>
      <c r="V79" s="172">
        <f t="shared" si="32"/>
        <v>3350</v>
      </c>
      <c r="W79" s="173">
        <f t="shared" si="32"/>
        <v>4050</v>
      </c>
      <c r="X79" s="173">
        <f t="shared" si="32"/>
        <v>4550</v>
      </c>
      <c r="Y79" s="184">
        <f t="shared" si="32"/>
        <v>4050</v>
      </c>
      <c r="Z79" s="11"/>
      <c r="AA79" s="172">
        <f t="shared" si="27"/>
        <v>16000</v>
      </c>
      <c r="AB79" s="184">
        <f t="shared" si="30"/>
        <v>16000</v>
      </c>
    </row>
    <row r="80" spans="1:28">
      <c r="A80" s="1"/>
      <c r="B80" s="11"/>
      <c r="C80" s="185">
        <f>C70</f>
        <v>2026</v>
      </c>
      <c r="D80" s="42"/>
      <c r="E80" s="55"/>
      <c r="F80" s="55"/>
      <c r="G80" s="181">
        <f>G70</f>
        <v>1</v>
      </c>
      <c r="H80" s="55"/>
      <c r="I80" s="162">
        <f t="shared" ref="I80:X81" si="33">IF($G80=0,NA(),I70)</f>
        <v>1350</v>
      </c>
      <c r="J80" s="163">
        <f t="shared" si="33"/>
        <v>1250</v>
      </c>
      <c r="K80" s="163">
        <f t="shared" si="33"/>
        <v>1350</v>
      </c>
      <c r="L80" s="163">
        <f t="shared" si="33"/>
        <v>1400</v>
      </c>
      <c r="M80" s="163">
        <f t="shared" si="33"/>
        <v>1525</v>
      </c>
      <c r="N80" s="163">
        <f t="shared" si="33"/>
        <v>1650</v>
      </c>
      <c r="O80" s="163">
        <f t="shared" si="33"/>
        <v>1700</v>
      </c>
      <c r="P80" s="163">
        <f t="shared" si="33"/>
        <v>1680</v>
      </c>
      <c r="Q80" s="163">
        <f t="shared" si="33"/>
        <v>1590</v>
      </c>
      <c r="R80" s="163">
        <f t="shared" si="33"/>
        <v>1550</v>
      </c>
      <c r="S80" s="163">
        <f t="shared" si="33"/>
        <v>1525</v>
      </c>
      <c r="T80" s="164">
        <f t="shared" si="33"/>
        <v>1440</v>
      </c>
      <c r="U80" s="11"/>
      <c r="V80" s="162">
        <f t="shared" si="33"/>
        <v>3950</v>
      </c>
      <c r="W80" s="163">
        <f t="shared" si="33"/>
        <v>4575</v>
      </c>
      <c r="X80" s="163">
        <f t="shared" si="33"/>
        <v>4970</v>
      </c>
      <c r="Y80" s="164">
        <f t="shared" si="32"/>
        <v>4515</v>
      </c>
      <c r="Z80" s="11"/>
      <c r="AA80" s="162">
        <f t="shared" si="27"/>
        <v>18010</v>
      </c>
      <c r="AB80" s="164">
        <f t="shared" si="30"/>
        <v>18010</v>
      </c>
    </row>
    <row r="81" spans="1:28">
      <c r="A81" s="1"/>
      <c r="B81" s="11"/>
      <c r="C81" s="185" t="s">
        <v>25</v>
      </c>
      <c r="D81" s="42"/>
      <c r="E81" s="42"/>
      <c r="F81" s="42"/>
      <c r="G81" s="168">
        <f>G71</f>
        <v>0</v>
      </c>
      <c r="H81" s="42"/>
      <c r="I81" s="172" t="e">
        <f t="shared" si="33"/>
        <v>#N/A</v>
      </c>
      <c r="J81" s="173" t="e">
        <f t="shared" si="32"/>
        <v>#N/A</v>
      </c>
      <c r="K81" s="173" t="e">
        <f t="shared" si="32"/>
        <v>#N/A</v>
      </c>
      <c r="L81" s="173" t="e">
        <f t="shared" si="32"/>
        <v>#N/A</v>
      </c>
      <c r="M81" s="173" t="e">
        <f t="shared" si="32"/>
        <v>#N/A</v>
      </c>
      <c r="N81" s="173" t="e">
        <f t="shared" si="32"/>
        <v>#N/A</v>
      </c>
      <c r="O81" s="173" t="e">
        <f t="shared" si="32"/>
        <v>#N/A</v>
      </c>
      <c r="P81" s="173" t="e">
        <f t="shared" si="32"/>
        <v>#N/A</v>
      </c>
      <c r="Q81" s="173" t="e">
        <f t="shared" si="32"/>
        <v>#N/A</v>
      </c>
      <c r="R81" s="173" t="e">
        <f t="shared" si="32"/>
        <v>#N/A</v>
      </c>
      <c r="S81" s="173" t="e">
        <f t="shared" si="32"/>
        <v>#N/A</v>
      </c>
      <c r="T81" s="184" t="e">
        <f t="shared" si="32"/>
        <v>#N/A</v>
      </c>
      <c r="U81" s="11"/>
      <c r="V81" s="172" t="e">
        <f t="shared" si="32"/>
        <v>#N/A</v>
      </c>
      <c r="W81" s="173" t="e">
        <f t="shared" si="32"/>
        <v>#N/A</v>
      </c>
      <c r="X81" s="173" t="e">
        <f t="shared" si="32"/>
        <v>#N/A</v>
      </c>
      <c r="Y81" s="184" t="e">
        <f t="shared" si="32"/>
        <v>#N/A</v>
      </c>
      <c r="Z81" s="11"/>
      <c r="AA81" s="172" t="e">
        <f t="shared" si="27"/>
        <v>#N/A</v>
      </c>
      <c r="AB81" s="184" t="e">
        <f t="shared" si="30"/>
        <v>#N/A</v>
      </c>
    </row>
    <row r="85" spans="1:28" ht="18">
      <c r="A85" s="3"/>
      <c r="B85" s="64" t="s">
        <v>26</v>
      </c>
      <c r="C85" s="64"/>
      <c r="D85" s="64"/>
      <c r="E85" s="65"/>
      <c r="F85" s="65"/>
      <c r="G85" s="65"/>
      <c r="H85" s="65"/>
      <c r="I85" s="65"/>
      <c r="J85" s="65"/>
      <c r="K85" s="65"/>
      <c r="L85" s="66"/>
      <c r="M85" s="5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 spans="1:28">
      <c r="A86" s="3"/>
      <c r="B86" s="7"/>
      <c r="C86" s="7"/>
      <c r="D86" s="7"/>
      <c r="E86" s="68"/>
      <c r="F86" s="68"/>
      <c r="G86" s="68"/>
      <c r="H86" s="68"/>
      <c r="I86" s="68"/>
      <c r="J86" s="8"/>
      <c r="K86" s="8"/>
      <c r="L86" s="8"/>
      <c r="M86" s="8"/>
      <c r="N86" s="8"/>
      <c r="O86" s="8"/>
      <c r="P86" s="8"/>
      <c r="Q86" s="8"/>
      <c r="R86" s="8"/>
      <c r="S86" s="8"/>
      <c r="T86" s="9"/>
      <c r="U86" s="10"/>
      <c r="V86" s="7"/>
      <c r="W86" s="10"/>
      <c r="X86" s="10"/>
      <c r="Y86" s="10"/>
      <c r="Z86" s="10"/>
      <c r="AA86" s="7"/>
    </row>
    <row r="87" spans="1:28">
      <c r="A87" s="9"/>
      <c r="B87" s="90" t="s">
        <v>9</v>
      </c>
      <c r="C87" s="11"/>
      <c r="D87" s="11"/>
      <c r="E87" s="11"/>
      <c r="F87" s="11"/>
      <c r="G87" s="11"/>
      <c r="H87" s="11"/>
      <c r="I87" s="11"/>
      <c r="J87" s="11"/>
      <c r="K87" s="11"/>
      <c r="L87" s="71" t="s">
        <v>10</v>
      </c>
      <c r="M87" s="9"/>
      <c r="N87" s="9"/>
      <c r="O87" s="9"/>
      <c r="P87" s="9"/>
      <c r="Q87" s="11"/>
      <c r="R87" s="11"/>
      <c r="S87" s="11"/>
      <c r="T87" s="72" t="str">
        <f>$E$9</f>
        <v>YEARS</v>
      </c>
      <c r="U87" s="11"/>
      <c r="V87" s="71" t="s">
        <v>11</v>
      </c>
      <c r="W87" s="9"/>
      <c r="X87" s="9"/>
      <c r="Y87" s="9"/>
      <c r="Z87" s="9"/>
      <c r="AA87" s="72" t="str">
        <f>$E$9</f>
        <v>YEARS</v>
      </c>
    </row>
    <row r="88" spans="1:28">
      <c r="A88" s="9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74"/>
      <c r="M88" s="9"/>
      <c r="N88" s="9"/>
      <c r="O88" s="9"/>
      <c r="P88" s="9"/>
      <c r="Q88" s="9"/>
      <c r="R88" s="11"/>
      <c r="S88" s="11"/>
      <c r="T88" s="11"/>
      <c r="U88" s="11"/>
      <c r="V88" s="9"/>
      <c r="W88" s="9"/>
      <c r="X88" s="9"/>
      <c r="Y88" s="9"/>
      <c r="Z88" s="9"/>
      <c r="AA88" s="9"/>
    </row>
    <row r="89" spans="1:28">
      <c r="A89" s="9"/>
      <c r="B89" s="186" t="str">
        <f>CONCATENATE(TEXT($E$5,"mmmm")," Results")</f>
        <v>December Results</v>
      </c>
      <c r="C89" s="9"/>
      <c r="D89" s="78"/>
      <c r="E89" s="78"/>
      <c r="F89" s="78"/>
      <c r="G89" s="11"/>
      <c r="H89" s="11"/>
      <c r="I89" s="79"/>
      <c r="J89" s="11"/>
      <c r="K89" s="11"/>
      <c r="L89" s="27"/>
      <c r="M89" s="9"/>
      <c r="N89" s="9"/>
      <c r="O89" s="80"/>
      <c r="P89" s="80"/>
      <c r="Q89" s="80"/>
      <c r="R89" s="11"/>
      <c r="S89" s="11"/>
      <c r="T89" s="11"/>
      <c r="U89" s="11"/>
      <c r="V89" s="9"/>
      <c r="W89" s="9"/>
      <c r="X89" s="9"/>
      <c r="Y89" s="9"/>
      <c r="Z89" s="9"/>
      <c r="AA89" s="9"/>
    </row>
    <row r="90" spans="1:28">
      <c r="A90" s="9"/>
      <c r="B90" s="81" t="s">
        <v>12</v>
      </c>
      <c r="C90" s="70"/>
      <c r="D90" s="70"/>
      <c r="E90" s="70"/>
      <c r="F90" s="70"/>
      <c r="G90" s="70"/>
      <c r="H90" s="70"/>
      <c r="I90" s="70"/>
      <c r="J90" s="70"/>
      <c r="K90" s="11"/>
      <c r="L90" s="27"/>
      <c r="M90" s="9"/>
      <c r="N90" s="9"/>
      <c r="O90" s="80"/>
      <c r="P90" s="80"/>
      <c r="Q90" s="80"/>
      <c r="R90" s="11"/>
      <c r="S90" s="11"/>
      <c r="T90" s="11"/>
      <c r="U90" s="11"/>
      <c r="V90" s="9"/>
      <c r="W90" s="9"/>
      <c r="X90" s="9"/>
      <c r="Y90" s="9"/>
      <c r="Z90" s="9"/>
      <c r="AA90" s="9"/>
    </row>
    <row r="91" spans="1:28">
      <c r="A91" s="9"/>
      <c r="B91" s="81" t="s">
        <v>12</v>
      </c>
      <c r="C91" s="70"/>
      <c r="D91" s="70"/>
      <c r="E91" s="70"/>
      <c r="F91" s="70"/>
      <c r="G91" s="70"/>
      <c r="H91" s="70"/>
      <c r="I91" s="70"/>
      <c r="J91" s="70"/>
      <c r="K91" s="11"/>
      <c r="L91" s="9"/>
      <c r="M91" s="9"/>
      <c r="N91" s="9"/>
      <c r="O91" s="9"/>
      <c r="P91" s="9"/>
      <c r="Q91" s="9"/>
      <c r="R91" s="11"/>
      <c r="S91" s="11"/>
      <c r="T91" s="11"/>
      <c r="U91" s="11"/>
      <c r="V91" s="9"/>
      <c r="W91" s="9"/>
      <c r="X91" s="9"/>
      <c r="Y91" s="9"/>
      <c r="Z91" s="9"/>
      <c r="AA91" s="9"/>
    </row>
    <row r="92" spans="1:28">
      <c r="A92" s="9"/>
      <c r="B92" s="9"/>
      <c r="C92" s="9"/>
      <c r="D92" s="9"/>
      <c r="E92" s="9"/>
      <c r="F92" s="9"/>
      <c r="G92" s="9"/>
      <c r="H92" s="9"/>
      <c r="I92" s="9"/>
      <c r="J92" s="9"/>
      <c r="K92" s="11"/>
      <c r="L92" s="74"/>
      <c r="M92" s="9"/>
      <c r="N92" s="9"/>
      <c r="O92" s="9"/>
      <c r="P92" s="9"/>
      <c r="Q92" s="9"/>
      <c r="R92" s="11"/>
      <c r="S92" s="11"/>
      <c r="T92" s="11"/>
      <c r="U92" s="11"/>
      <c r="V92" s="9"/>
      <c r="W92" s="9"/>
      <c r="X92" s="9"/>
      <c r="Y92" s="9"/>
      <c r="Z92" s="9"/>
      <c r="AA92" s="9"/>
    </row>
    <row r="93" spans="1:28">
      <c r="A93" s="9"/>
      <c r="B93" s="186" t="str">
        <f>CONCATENATE($E$6," Forecast")</f>
        <v>2025 Forecast</v>
      </c>
      <c r="C93" s="11"/>
      <c r="D93" s="78"/>
      <c r="E93" s="78"/>
      <c r="F93" s="11"/>
      <c r="G93" s="11"/>
      <c r="H93" s="11"/>
      <c r="I93" s="11"/>
      <c r="J93" s="11"/>
      <c r="K93" s="11"/>
      <c r="L93" s="27"/>
      <c r="M93" s="9"/>
      <c r="N93" s="9"/>
      <c r="O93" s="80"/>
      <c r="P93" s="80"/>
      <c r="Q93" s="80"/>
      <c r="R93" s="11"/>
      <c r="S93" s="11"/>
      <c r="T93" s="11"/>
      <c r="U93" s="11"/>
      <c r="V93" s="9"/>
      <c r="W93" s="9"/>
      <c r="X93" s="9"/>
      <c r="Y93" s="9"/>
      <c r="Z93" s="9"/>
      <c r="AA93" s="9"/>
    </row>
    <row r="94" spans="1:28">
      <c r="A94" s="9"/>
      <c r="B94" s="81" t="s">
        <v>12</v>
      </c>
      <c r="C94" s="70"/>
      <c r="D94" s="70"/>
      <c r="E94" s="70"/>
      <c r="F94" s="70"/>
      <c r="G94" s="70"/>
      <c r="H94" s="70"/>
      <c r="I94" s="70"/>
      <c r="J94" s="70"/>
      <c r="K94" s="11"/>
      <c r="L94" s="27"/>
      <c r="M94" s="9"/>
      <c r="N94" s="9"/>
      <c r="O94" s="80"/>
      <c r="P94" s="80"/>
      <c r="Q94" s="80"/>
      <c r="R94" s="11"/>
      <c r="S94" s="11"/>
      <c r="T94" s="11"/>
      <c r="U94" s="11"/>
      <c r="V94" s="9"/>
      <c r="W94" s="9"/>
      <c r="X94" s="9"/>
      <c r="Y94" s="9"/>
      <c r="Z94" s="9"/>
      <c r="AA94" s="9"/>
    </row>
    <row r="95" spans="1:28">
      <c r="A95" s="9"/>
      <c r="B95" s="81" t="s">
        <v>12</v>
      </c>
      <c r="C95" s="70"/>
      <c r="D95" s="70"/>
      <c r="E95" s="70"/>
      <c r="F95" s="70"/>
      <c r="G95" s="70"/>
      <c r="H95" s="70"/>
      <c r="I95" s="70"/>
      <c r="J95" s="70"/>
      <c r="K95" s="11"/>
      <c r="L95" s="9"/>
      <c r="M95" s="9"/>
      <c r="N95" s="9"/>
      <c r="O95" s="9"/>
      <c r="P95" s="9"/>
      <c r="Q95" s="9"/>
      <c r="R95" s="11"/>
      <c r="S95" s="11"/>
      <c r="T95" s="11"/>
      <c r="U95" s="11"/>
      <c r="V95" s="9"/>
      <c r="W95" s="9"/>
      <c r="X95" s="9"/>
      <c r="Y95" s="9"/>
      <c r="Z95" s="9"/>
      <c r="AA95" s="9"/>
    </row>
    <row r="96" spans="1:28">
      <c r="A96" s="9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74"/>
      <c r="M96" s="9"/>
      <c r="N96" s="9"/>
      <c r="O96" s="82"/>
      <c r="P96" s="82"/>
      <c r="Q96" s="82"/>
      <c r="R96" s="11"/>
      <c r="S96" s="11"/>
      <c r="T96" s="11"/>
      <c r="U96" s="11"/>
      <c r="V96" s="9"/>
      <c r="W96" s="9"/>
      <c r="X96" s="9"/>
      <c r="Y96" s="9"/>
      <c r="Z96" s="9"/>
      <c r="AA96" s="9"/>
    </row>
    <row r="97" spans="1:27">
      <c r="A97" s="9"/>
      <c r="B97" s="186" t="str">
        <f>CONCATENATE($E$6+1," Forecast")</f>
        <v>2026 Forecast</v>
      </c>
      <c r="C97" s="11"/>
      <c r="D97" s="79"/>
      <c r="E97" s="79"/>
      <c r="F97" s="11"/>
      <c r="G97" s="11"/>
      <c r="H97" s="11"/>
      <c r="I97" s="11"/>
      <c r="J97" s="11"/>
      <c r="K97" s="11"/>
      <c r="L97" s="27"/>
      <c r="M97" s="9"/>
      <c r="N97" s="9"/>
      <c r="O97" s="80"/>
      <c r="P97" s="80"/>
      <c r="Q97" s="80"/>
      <c r="R97" s="11"/>
      <c r="S97" s="11"/>
      <c r="T97" s="11"/>
      <c r="U97" s="11"/>
      <c r="V97" s="9"/>
      <c r="W97" s="9"/>
      <c r="X97" s="9"/>
      <c r="Y97" s="9"/>
      <c r="Z97" s="9"/>
      <c r="AA97" s="9"/>
    </row>
    <row r="98" spans="1:27">
      <c r="A98" s="9"/>
      <c r="B98" s="81" t="s">
        <v>12</v>
      </c>
      <c r="C98" s="70"/>
      <c r="D98" s="70"/>
      <c r="E98" s="70"/>
      <c r="F98" s="70"/>
      <c r="G98" s="70"/>
      <c r="H98" s="70"/>
      <c r="I98" s="70"/>
      <c r="J98" s="70"/>
      <c r="K98" s="11"/>
      <c r="L98" s="27"/>
      <c r="M98" s="9"/>
      <c r="N98" s="9"/>
      <c r="O98" s="80"/>
      <c r="P98" s="80"/>
      <c r="Q98" s="80"/>
      <c r="R98" s="11"/>
      <c r="S98" s="11"/>
      <c r="T98" s="11"/>
      <c r="U98" s="11"/>
      <c r="V98" s="9"/>
      <c r="W98" s="9"/>
      <c r="X98" s="9"/>
      <c r="Y98" s="9"/>
      <c r="Z98" s="9"/>
      <c r="AA98" s="9"/>
    </row>
    <row r="99" spans="1:27">
      <c r="A99" s="9"/>
      <c r="B99" s="81" t="s">
        <v>12</v>
      </c>
      <c r="C99" s="70"/>
      <c r="D99" s="70"/>
      <c r="E99" s="70"/>
      <c r="F99" s="70"/>
      <c r="G99" s="70"/>
      <c r="H99" s="70"/>
      <c r="I99" s="70"/>
      <c r="J99" s="70"/>
      <c r="K99" s="11"/>
      <c r="L99" s="27"/>
      <c r="M99" s="9"/>
      <c r="N99" s="9"/>
      <c r="O99" s="80"/>
      <c r="P99" s="80"/>
      <c r="Q99" s="80"/>
      <c r="R99" s="11"/>
      <c r="S99" s="11"/>
      <c r="T99" s="11"/>
      <c r="U99" s="11"/>
      <c r="V99" s="9"/>
      <c r="W99" s="9"/>
      <c r="X99" s="9"/>
      <c r="Y99" s="9"/>
      <c r="Z99" s="9"/>
      <c r="AA99" s="9"/>
    </row>
    <row r="100" spans="1:27">
      <c r="A100" s="9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9"/>
      <c r="M100" s="9"/>
      <c r="N100" s="9"/>
      <c r="O100" s="9"/>
      <c r="P100" s="9"/>
      <c r="Q100" s="9"/>
      <c r="R100" s="11"/>
      <c r="S100" s="11"/>
      <c r="T100" s="11"/>
      <c r="U100" s="11"/>
      <c r="V100" s="9"/>
      <c r="W100" s="9"/>
      <c r="X100" s="9"/>
      <c r="Y100" s="9"/>
      <c r="Z100" s="9"/>
      <c r="AA100" s="9"/>
    </row>
    <row r="101" spans="1:27">
      <c r="A101" s="9"/>
      <c r="B101" s="84"/>
      <c r="C101" s="84"/>
      <c r="D101" s="84"/>
      <c r="E101" s="11"/>
      <c r="F101" s="11"/>
      <c r="G101" s="11"/>
      <c r="H101" s="11"/>
      <c r="I101" s="11"/>
      <c r="J101" s="11"/>
      <c r="K101" s="11"/>
      <c r="L101" s="9"/>
      <c r="M101" s="9"/>
      <c r="N101" s="9"/>
      <c r="O101" s="9"/>
      <c r="P101" s="9"/>
      <c r="Q101" s="9"/>
      <c r="R101" s="11"/>
      <c r="S101" s="11"/>
      <c r="T101" s="11"/>
      <c r="U101" s="11"/>
      <c r="V101" s="9"/>
      <c r="W101" s="9"/>
      <c r="X101" s="9"/>
      <c r="Y101" s="9"/>
      <c r="Z101" s="9"/>
      <c r="AA101" s="9"/>
    </row>
    <row r="102" spans="1:27">
      <c r="A102" s="9"/>
      <c r="B102" s="11"/>
      <c r="C102" s="71" t="s">
        <v>13</v>
      </c>
      <c r="D102" s="71"/>
      <c r="E102" s="9"/>
      <c r="F102" s="9"/>
      <c r="G102" s="72" t="str">
        <f>$E$9</f>
        <v>YEARS</v>
      </c>
      <c r="H102" s="85"/>
      <c r="I102" s="86" t="s">
        <v>14</v>
      </c>
      <c r="J102" s="11"/>
      <c r="K102" s="11"/>
      <c r="L102" s="74"/>
      <c r="M102" s="74"/>
      <c r="N102" s="74"/>
      <c r="O102" s="9"/>
      <c r="P102" s="9"/>
      <c r="Q102" s="9"/>
      <c r="R102" s="9"/>
      <c r="S102" s="9"/>
      <c r="T102" s="9"/>
      <c r="U102" s="9"/>
      <c r="V102" s="11"/>
      <c r="W102" s="11"/>
      <c r="X102" s="11"/>
      <c r="Y102" s="11"/>
      <c r="Z102" s="11"/>
      <c r="AA102" s="11"/>
    </row>
    <row r="103" spans="1:27">
      <c r="A103" s="9"/>
      <c r="B103" s="9"/>
      <c r="C103" s="9"/>
      <c r="D103" s="9"/>
      <c r="E103" s="9"/>
      <c r="F103" s="9"/>
      <c r="G103" s="11"/>
      <c r="H103" s="11"/>
      <c r="I103" s="11"/>
      <c r="J103" s="11"/>
      <c r="K103" s="11"/>
      <c r="L103" s="27"/>
      <c r="M103" s="27"/>
      <c r="N103" s="27"/>
      <c r="O103" s="80"/>
      <c r="P103" s="80"/>
      <c r="Q103" s="80"/>
      <c r="R103" s="9"/>
      <c r="S103" s="9"/>
      <c r="T103" s="9"/>
      <c r="U103" s="9"/>
      <c r="V103" s="11"/>
      <c r="W103" s="11"/>
      <c r="X103" s="11"/>
      <c r="Y103" s="11"/>
      <c r="Z103" s="11"/>
      <c r="AA103" s="11"/>
    </row>
    <row r="104" spans="1:27">
      <c r="A104" s="9"/>
      <c r="B104" s="9"/>
      <c r="C104" s="9"/>
      <c r="D104" s="9"/>
      <c r="E104" s="9"/>
      <c r="F104" s="9"/>
      <c r="G104" s="11"/>
      <c r="H104" s="11"/>
      <c r="I104" s="11"/>
      <c r="J104" s="11"/>
      <c r="K104" s="11"/>
      <c r="L104" s="27"/>
      <c r="M104" s="27"/>
      <c r="N104" s="27"/>
      <c r="O104" s="80"/>
      <c r="P104" s="80"/>
      <c r="Q104" s="80"/>
      <c r="R104" s="9"/>
      <c r="S104" s="9"/>
      <c r="T104" s="9"/>
      <c r="U104" s="9"/>
      <c r="V104" s="11"/>
      <c r="W104" s="11"/>
      <c r="X104" s="11"/>
      <c r="Y104" s="11"/>
      <c r="Z104" s="11"/>
      <c r="AA104" s="11"/>
    </row>
    <row r="105" spans="1:27">
      <c r="A105" s="9"/>
      <c r="B105" s="9"/>
      <c r="C105" s="9"/>
      <c r="D105" s="9"/>
      <c r="E105" s="9"/>
      <c r="F105" s="9"/>
      <c r="G105" s="11"/>
      <c r="H105" s="11"/>
      <c r="I105" s="11"/>
      <c r="J105" s="11"/>
      <c r="K105" s="11"/>
      <c r="L105" s="27"/>
      <c r="M105" s="87"/>
      <c r="N105" s="87"/>
      <c r="O105" s="80"/>
      <c r="P105" s="80"/>
      <c r="Q105" s="80"/>
      <c r="R105" s="9"/>
      <c r="S105" s="9"/>
      <c r="T105" s="9"/>
      <c r="U105" s="9"/>
      <c r="V105" s="11"/>
      <c r="W105" s="11"/>
      <c r="X105" s="11"/>
      <c r="Y105" s="11"/>
      <c r="Z105" s="11"/>
      <c r="AA105" s="11"/>
    </row>
    <row r="106" spans="1:27">
      <c r="A106" s="9"/>
      <c r="B106" s="9"/>
      <c r="C106" s="9"/>
      <c r="D106" s="9"/>
      <c r="E106" s="9"/>
      <c r="F106" s="9"/>
      <c r="G106" s="11"/>
      <c r="H106" s="11"/>
      <c r="I106" s="11"/>
      <c r="J106" s="11"/>
      <c r="K106" s="11"/>
      <c r="L106" s="27"/>
      <c r="M106" s="87"/>
      <c r="N106" s="87"/>
      <c r="O106" s="80"/>
      <c r="P106" s="80"/>
      <c r="Q106" s="80"/>
      <c r="R106" s="9"/>
      <c r="S106" s="9"/>
      <c r="T106" s="9"/>
      <c r="U106" s="9"/>
      <c r="V106" s="11"/>
      <c r="W106" s="11"/>
      <c r="X106" s="11"/>
      <c r="Y106" s="11"/>
      <c r="Z106" s="11"/>
      <c r="AA106" s="11"/>
    </row>
    <row r="107" spans="1:27">
      <c r="A107" s="9"/>
      <c r="B107" s="9"/>
      <c r="C107" s="9"/>
      <c r="D107" s="9"/>
      <c r="E107" s="9"/>
      <c r="F107" s="9"/>
      <c r="G107" s="11"/>
      <c r="H107" s="11"/>
      <c r="I107" s="11"/>
      <c r="J107" s="11"/>
      <c r="K107" s="11"/>
      <c r="L107" s="27"/>
      <c r="M107" s="87"/>
      <c r="N107" s="87"/>
      <c r="O107" s="80"/>
      <c r="P107" s="80"/>
      <c r="Q107" s="80"/>
      <c r="R107" s="9"/>
      <c r="S107" s="9"/>
      <c r="T107" s="9"/>
      <c r="U107" s="9"/>
      <c r="V107" s="11"/>
      <c r="W107" s="11"/>
      <c r="X107" s="11"/>
      <c r="Y107" s="11"/>
      <c r="Z107" s="11"/>
      <c r="AA107" s="11"/>
    </row>
    <row r="108" spans="1:27">
      <c r="A108" s="9"/>
      <c r="B108" s="9"/>
      <c r="C108" s="9"/>
      <c r="D108" s="9"/>
      <c r="E108" s="9"/>
      <c r="F108" s="9"/>
      <c r="G108" s="11"/>
      <c r="H108" s="11"/>
      <c r="I108" s="11"/>
      <c r="J108" s="11"/>
      <c r="K108" s="11"/>
      <c r="L108" s="27"/>
      <c r="M108" s="87"/>
      <c r="N108" s="87"/>
      <c r="O108" s="80"/>
      <c r="P108" s="80"/>
      <c r="Q108" s="80"/>
      <c r="R108" s="9"/>
      <c r="S108" s="9"/>
      <c r="T108" s="9"/>
      <c r="U108" s="9"/>
      <c r="V108" s="11"/>
      <c r="W108" s="11"/>
      <c r="X108" s="11"/>
      <c r="Y108" s="11"/>
      <c r="Z108" s="11"/>
      <c r="AA108" s="11"/>
    </row>
    <row r="109" spans="1:27">
      <c r="A109" s="9"/>
      <c r="B109" s="9"/>
      <c r="C109" s="9"/>
      <c r="D109" s="9"/>
      <c r="E109" s="9"/>
      <c r="F109" s="9"/>
      <c r="G109" s="11"/>
      <c r="H109" s="11"/>
      <c r="I109" s="11"/>
      <c r="J109" s="11"/>
      <c r="K109" s="11"/>
      <c r="L109" s="27"/>
      <c r="M109" s="87"/>
      <c r="N109" s="87"/>
      <c r="O109" s="80"/>
      <c r="P109" s="80"/>
      <c r="Q109" s="80"/>
      <c r="R109" s="9"/>
      <c r="S109" s="9"/>
      <c r="T109" s="9"/>
      <c r="U109" s="9"/>
      <c r="V109" s="11"/>
      <c r="W109" s="11"/>
      <c r="X109" s="11"/>
      <c r="Y109" s="11"/>
      <c r="Z109" s="11"/>
      <c r="AA109" s="11"/>
    </row>
    <row r="110" spans="1:27">
      <c r="A110" s="9"/>
      <c r="B110" s="9"/>
      <c r="C110" s="9"/>
      <c r="D110" s="9"/>
      <c r="E110" s="9"/>
      <c r="F110" s="9"/>
      <c r="G110" s="11"/>
      <c r="H110" s="11"/>
      <c r="I110" s="11"/>
      <c r="J110" s="11"/>
      <c r="K110" s="11"/>
      <c r="L110" s="27"/>
      <c r="M110" s="87"/>
      <c r="N110" s="87"/>
      <c r="O110" s="80"/>
      <c r="P110" s="80"/>
      <c r="Q110" s="80"/>
      <c r="R110" s="9"/>
      <c r="S110" s="9"/>
      <c r="T110" s="9"/>
      <c r="U110" s="9"/>
      <c r="V110" s="11"/>
      <c r="W110" s="11"/>
      <c r="X110" s="11"/>
      <c r="Y110" s="11"/>
      <c r="Z110" s="11"/>
      <c r="AA110" s="11"/>
    </row>
    <row r="111" spans="1:27">
      <c r="A111" s="9"/>
      <c r="B111" s="9"/>
      <c r="C111" s="9"/>
      <c r="D111" s="9"/>
      <c r="E111" s="9"/>
      <c r="F111" s="9"/>
      <c r="G111" s="11"/>
      <c r="H111" s="11"/>
      <c r="I111" s="11"/>
      <c r="J111" s="11"/>
      <c r="K111" s="11"/>
      <c r="L111" s="27"/>
      <c r="M111" s="87"/>
      <c r="N111" s="87"/>
      <c r="O111" s="80"/>
      <c r="P111" s="80"/>
      <c r="Q111" s="80"/>
      <c r="R111" s="9"/>
      <c r="S111" s="9"/>
      <c r="T111" s="9"/>
      <c r="U111" s="9"/>
      <c r="V111" s="11"/>
      <c r="W111" s="11"/>
      <c r="X111" s="11"/>
      <c r="Y111" s="11"/>
      <c r="Z111" s="11"/>
      <c r="AA111" s="11"/>
    </row>
    <row r="112" spans="1:27">
      <c r="A112" s="9"/>
      <c r="B112" s="9"/>
      <c r="C112" s="9"/>
      <c r="D112" s="9"/>
      <c r="E112" s="9"/>
      <c r="F112" s="9"/>
      <c r="G112" s="11"/>
      <c r="H112" s="11"/>
      <c r="I112" s="11"/>
      <c r="J112" s="11"/>
      <c r="K112" s="11"/>
      <c r="L112" s="27"/>
      <c r="M112" s="87"/>
      <c r="N112" s="87"/>
      <c r="O112" s="80"/>
      <c r="P112" s="80"/>
      <c r="Q112" s="80"/>
      <c r="R112" s="9"/>
      <c r="S112" s="9"/>
      <c r="T112" s="9"/>
      <c r="U112" s="9"/>
      <c r="V112" s="11"/>
      <c r="W112" s="11"/>
      <c r="X112" s="11"/>
      <c r="Y112" s="11"/>
      <c r="Z112" s="11"/>
      <c r="AA112" s="11"/>
    </row>
    <row r="113" spans="1:27" ht="18">
      <c r="A113" s="12"/>
      <c r="B113" s="7"/>
      <c r="C113" s="7"/>
      <c r="D113" s="7"/>
      <c r="E113" s="88"/>
      <c r="F113" s="88"/>
      <c r="G113" s="88"/>
      <c r="H113" s="88"/>
      <c r="I113" s="89"/>
      <c r="J113" s="68"/>
      <c r="K113" s="68"/>
      <c r="L113" s="8"/>
      <c r="M113" s="7"/>
      <c r="N113" s="7"/>
      <c r="O113" s="9"/>
      <c r="P113" s="9"/>
      <c r="Q113" s="9"/>
      <c r="R113" s="9"/>
      <c r="S113" s="9"/>
      <c r="T113" s="9"/>
      <c r="U113" s="9"/>
      <c r="V113" s="7"/>
      <c r="W113" s="9"/>
      <c r="X113" s="9"/>
      <c r="Y113" s="9"/>
      <c r="Z113" s="9"/>
      <c r="AA113" s="9"/>
    </row>
    <row r="114" spans="1:27" ht="15.75" thickBot="1">
      <c r="A114" s="25"/>
      <c r="B114" s="9"/>
      <c r="C114" s="91"/>
      <c r="D114" s="91"/>
      <c r="E114" s="9"/>
      <c r="F114" s="9"/>
      <c r="G114" s="9"/>
      <c r="H114" s="9"/>
      <c r="I114" s="187">
        <f>I$6</f>
        <v>45658</v>
      </c>
      <c r="J114" s="188">
        <f t="shared" ref="J114:Y114" si="34">J$6</f>
        <v>45689</v>
      </c>
      <c r="K114" s="188">
        <f t="shared" si="34"/>
        <v>45717</v>
      </c>
      <c r="L114" s="189">
        <f t="shared" si="34"/>
        <v>45748</v>
      </c>
      <c r="M114" s="188">
        <f t="shared" si="34"/>
        <v>45778</v>
      </c>
      <c r="N114" s="188">
        <f t="shared" si="34"/>
        <v>45809</v>
      </c>
      <c r="O114" s="189">
        <f t="shared" si="34"/>
        <v>45839</v>
      </c>
      <c r="P114" s="188">
        <f t="shared" si="34"/>
        <v>45870</v>
      </c>
      <c r="Q114" s="188">
        <f t="shared" si="34"/>
        <v>45901</v>
      </c>
      <c r="R114" s="189">
        <f t="shared" si="34"/>
        <v>45931</v>
      </c>
      <c r="S114" s="188">
        <f t="shared" si="34"/>
        <v>45962</v>
      </c>
      <c r="T114" s="190">
        <f t="shared" si="34"/>
        <v>45992</v>
      </c>
      <c r="U114" s="191"/>
      <c r="V114" s="34">
        <f t="shared" si="34"/>
        <v>1</v>
      </c>
      <c r="W114" s="20">
        <f t="shared" si="34"/>
        <v>2</v>
      </c>
      <c r="X114" s="20">
        <f t="shared" si="34"/>
        <v>3</v>
      </c>
      <c r="Y114" s="192">
        <f t="shared" si="34"/>
        <v>4</v>
      </c>
      <c r="Z114" s="191"/>
      <c r="AA114" s="193" t="s">
        <v>3</v>
      </c>
    </row>
    <row r="115" spans="1:27">
      <c r="A115" s="3"/>
      <c r="B115" s="7"/>
      <c r="C115" s="99"/>
      <c r="D115" s="99"/>
      <c r="E115" s="7"/>
      <c r="F115" s="68"/>
      <c r="G115" s="68"/>
      <c r="H115" s="68"/>
      <c r="I115" s="100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9"/>
      <c r="U115" s="10"/>
      <c r="V115" s="102"/>
      <c r="W115" s="103"/>
      <c r="X115" s="103"/>
      <c r="Y115" s="10"/>
      <c r="Z115" s="10"/>
      <c r="AA115" s="102"/>
    </row>
    <row r="116" spans="1:27">
      <c r="A116" s="11"/>
      <c r="B116" s="11"/>
      <c r="C116" s="104" t="s">
        <v>15</v>
      </c>
      <c r="D116" s="104"/>
      <c r="E116" s="11"/>
      <c r="F116" s="11"/>
      <c r="G116" s="11"/>
      <c r="H116" s="11"/>
      <c r="I116" s="194">
        <f>I120/I143-1</f>
        <v>0</v>
      </c>
      <c r="J116" s="194">
        <f t="shared" ref="J116:T116" si="35">J120/J143-1</f>
        <v>0</v>
      </c>
      <c r="K116" s="194">
        <f t="shared" si="35"/>
        <v>0</v>
      </c>
      <c r="L116" s="194">
        <f t="shared" si="35"/>
        <v>0</v>
      </c>
      <c r="M116" s="194">
        <f t="shared" si="35"/>
        <v>0</v>
      </c>
      <c r="N116" s="194">
        <f t="shared" si="35"/>
        <v>0</v>
      </c>
      <c r="O116" s="194">
        <f t="shared" si="35"/>
        <v>0</v>
      </c>
      <c r="P116" s="194">
        <f t="shared" si="35"/>
        <v>0</v>
      </c>
      <c r="Q116" s="194">
        <f t="shared" si="35"/>
        <v>0</v>
      </c>
      <c r="R116" s="194">
        <f t="shared" si="35"/>
        <v>0</v>
      </c>
      <c r="S116" s="194">
        <f t="shared" si="35"/>
        <v>0</v>
      </c>
      <c r="T116" s="194">
        <f t="shared" si="35"/>
        <v>0</v>
      </c>
      <c r="U116" s="10"/>
      <c r="V116" s="194">
        <f>V120/V143-1</f>
        <v>0</v>
      </c>
      <c r="W116" s="194">
        <f>W120/W143-1</f>
        <v>0</v>
      </c>
      <c r="X116" s="194">
        <f>X120/X143-1</f>
        <v>0</v>
      </c>
      <c r="Y116" s="194">
        <f>Y120/Y143-1</f>
        <v>0</v>
      </c>
      <c r="Z116" s="10"/>
      <c r="AA116" s="194">
        <f>AA120/AA143-1</f>
        <v>0</v>
      </c>
    </row>
    <row r="117" spans="1:27">
      <c r="A117" s="11"/>
      <c r="B117" s="11"/>
      <c r="C117" s="104" t="s">
        <v>16</v>
      </c>
      <c r="D117" s="104"/>
      <c r="E117" s="11"/>
      <c r="F117" s="11"/>
      <c r="G117" s="11"/>
      <c r="H117" s="11"/>
      <c r="I117" s="195">
        <f>I120/I140-1</f>
        <v>3.3333333333333437E-2</v>
      </c>
      <c r="J117" s="195">
        <f t="shared" ref="J117:T117" si="36">J120/J140-1</f>
        <v>2.8761061946902755E-2</v>
      </c>
      <c r="K117" s="195">
        <f t="shared" si="36"/>
        <v>3.104212860310418E-2</v>
      </c>
      <c r="L117" s="195">
        <f t="shared" si="36"/>
        <v>3.0042918454935563E-2</v>
      </c>
      <c r="M117" s="195">
        <f t="shared" si="36"/>
        <v>3.4482758620689724E-2</v>
      </c>
      <c r="N117" s="195">
        <f t="shared" si="36"/>
        <v>3.6717062634989306E-2</v>
      </c>
      <c r="O117" s="195">
        <f t="shared" si="36"/>
        <v>3.4482758620689724E-2</v>
      </c>
      <c r="P117" s="195">
        <f t="shared" si="36"/>
        <v>2.7837259100642386E-2</v>
      </c>
      <c r="Q117" s="195">
        <f t="shared" si="36"/>
        <v>3.6717062634989306E-2</v>
      </c>
      <c r="R117" s="195">
        <f t="shared" si="36"/>
        <v>3.2258064516129004E-2</v>
      </c>
      <c r="S117" s="195">
        <f t="shared" si="36"/>
        <v>3.2258064516129004E-2</v>
      </c>
      <c r="T117" s="195">
        <f t="shared" si="36"/>
        <v>3.6717062634989306E-2</v>
      </c>
      <c r="U117" s="10"/>
      <c r="V117" s="195">
        <f>V120/V140-1</f>
        <v>3.1150929670731076E-2</v>
      </c>
      <c r="W117" s="195">
        <f>W120/W140-1</f>
        <v>3.4099319837659126E-2</v>
      </c>
      <c r="X117" s="195">
        <f>X120/X140-1</f>
        <v>3.2840544502447999E-2</v>
      </c>
      <c r="Y117" s="195">
        <f>Y120/Y140-1</f>
        <v>3.3608208913974869E-2</v>
      </c>
      <c r="Z117" s="10"/>
      <c r="AA117" s="195">
        <f>AA120/AA140-1</f>
        <v>3.2813269939813594E-2</v>
      </c>
    </row>
    <row r="118" spans="1:27">
      <c r="A118" s="2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>
      <c r="A119" s="25"/>
      <c r="B119" s="11"/>
      <c r="C119" s="78" t="str">
        <f>CONCATENATE($E$6," Forecast")</f>
        <v>2025 Forecast</v>
      </c>
      <c r="D119" s="78"/>
      <c r="E119" s="11"/>
      <c r="F119" s="11"/>
      <c r="G119" s="11"/>
      <c r="H119" s="11"/>
      <c r="I119" s="89">
        <f>I$7</f>
        <v>1</v>
      </c>
      <c r="J119" s="89">
        <f t="shared" ref="J119:T119" si="37">J$7</f>
        <v>1</v>
      </c>
      <c r="K119" s="89">
        <f t="shared" si="37"/>
        <v>1</v>
      </c>
      <c r="L119" s="89">
        <f t="shared" si="37"/>
        <v>1</v>
      </c>
      <c r="M119" s="89">
        <f t="shared" si="37"/>
        <v>1</v>
      </c>
      <c r="N119" s="89">
        <f t="shared" si="37"/>
        <v>1</v>
      </c>
      <c r="O119" s="89">
        <f t="shared" si="37"/>
        <v>1</v>
      </c>
      <c r="P119" s="89">
        <f t="shared" si="37"/>
        <v>1</v>
      </c>
      <c r="Q119" s="89">
        <f t="shared" si="37"/>
        <v>1</v>
      </c>
      <c r="R119" s="89">
        <f t="shared" si="37"/>
        <v>1</v>
      </c>
      <c r="S119" s="89">
        <f t="shared" si="37"/>
        <v>1</v>
      </c>
      <c r="T119" s="89">
        <f t="shared" si="37"/>
        <v>1</v>
      </c>
      <c r="U119" s="41"/>
      <c r="V119" s="89">
        <f t="shared" ref="V119:Y119" si="38">V$7</f>
        <v>1</v>
      </c>
      <c r="W119" s="89">
        <f t="shared" si="38"/>
        <v>1</v>
      </c>
      <c r="X119" s="89">
        <f t="shared" si="38"/>
        <v>1</v>
      </c>
      <c r="Y119" s="89">
        <f t="shared" si="38"/>
        <v>1</v>
      </c>
      <c r="Z119" s="41"/>
      <c r="AA119" s="89">
        <f>AA$7</f>
        <v>1</v>
      </c>
    </row>
    <row r="120" spans="1:27">
      <c r="A120" s="25"/>
      <c r="B120" s="11"/>
      <c r="C120" s="104" t="s">
        <v>17</v>
      </c>
      <c r="D120" s="104"/>
      <c r="E120" s="11"/>
      <c r="F120" s="11"/>
      <c r="G120" s="11"/>
      <c r="H120" s="11"/>
      <c r="I120" s="82">
        <v>465</v>
      </c>
      <c r="J120" s="82">
        <v>465</v>
      </c>
      <c r="K120" s="82">
        <v>465</v>
      </c>
      <c r="L120" s="82">
        <v>480</v>
      </c>
      <c r="M120" s="82">
        <v>480</v>
      </c>
      <c r="N120" s="82">
        <v>480</v>
      </c>
      <c r="O120" s="82">
        <v>480</v>
      </c>
      <c r="P120" s="82">
        <v>480</v>
      </c>
      <c r="Q120" s="82">
        <v>480</v>
      </c>
      <c r="R120" s="82">
        <v>480</v>
      </c>
      <c r="S120" s="82">
        <v>480</v>
      </c>
      <c r="T120" s="82">
        <v>480</v>
      </c>
      <c r="U120" s="9"/>
      <c r="V120" s="109">
        <f>(V192/V48)*1000</f>
        <v>465</v>
      </c>
      <c r="W120" s="109">
        <f t="shared" ref="W120:Y120" si="39">(W192/W48)*1000</f>
        <v>480</v>
      </c>
      <c r="X120" s="109">
        <f t="shared" si="39"/>
        <v>480</v>
      </c>
      <c r="Y120" s="109">
        <f t="shared" si="39"/>
        <v>480</v>
      </c>
      <c r="Z120" s="9"/>
      <c r="AA120" s="109">
        <f t="shared" ref="AA120:AA121" si="40">(AA192/AA48)*1000</f>
        <v>476.859375</v>
      </c>
    </row>
    <row r="121" spans="1:27">
      <c r="A121" s="25"/>
      <c r="B121" s="11"/>
      <c r="C121" s="104" t="s">
        <v>19</v>
      </c>
      <c r="D121" s="104"/>
      <c r="E121" s="11"/>
      <c r="F121" s="11"/>
      <c r="G121" s="11"/>
      <c r="H121" s="11"/>
      <c r="I121" s="82">
        <v>465</v>
      </c>
      <c r="J121" s="82">
        <v>465</v>
      </c>
      <c r="K121" s="82">
        <v>465</v>
      </c>
      <c r="L121" s="82">
        <v>480</v>
      </c>
      <c r="M121" s="82">
        <v>480</v>
      </c>
      <c r="N121" s="82">
        <v>480</v>
      </c>
      <c r="O121" s="82">
        <v>480</v>
      </c>
      <c r="P121" s="82">
        <v>480</v>
      </c>
      <c r="Q121" s="82">
        <v>480</v>
      </c>
      <c r="R121" s="82">
        <v>480</v>
      </c>
      <c r="S121" s="82">
        <v>480</v>
      </c>
      <c r="T121" s="82">
        <v>480</v>
      </c>
      <c r="U121" s="9"/>
      <c r="V121" s="109">
        <f t="shared" ref="V121:Y121" si="41">(V193/V49)*1000</f>
        <v>465</v>
      </c>
      <c r="W121" s="109">
        <f t="shared" si="41"/>
        <v>480</v>
      </c>
      <c r="X121" s="109">
        <f t="shared" si="41"/>
        <v>480</v>
      </c>
      <c r="Y121" s="109">
        <f t="shared" si="41"/>
        <v>480</v>
      </c>
      <c r="Z121" s="9"/>
      <c r="AA121" s="109">
        <f t="shared" si="40"/>
        <v>476.859375</v>
      </c>
    </row>
    <row r="122" spans="1:27">
      <c r="A122" s="25"/>
      <c r="B122" s="11"/>
      <c r="C122" s="104" t="s">
        <v>20</v>
      </c>
      <c r="D122" s="104"/>
      <c r="E122" s="11"/>
      <c r="F122" s="11"/>
      <c r="G122" s="11"/>
      <c r="H122" s="11"/>
      <c r="I122" s="196">
        <f>I120-I121</f>
        <v>0</v>
      </c>
      <c r="J122" s="196">
        <f t="shared" ref="J122:T122" si="42">J120-J121</f>
        <v>0</v>
      </c>
      <c r="K122" s="196">
        <f t="shared" si="42"/>
        <v>0</v>
      </c>
      <c r="L122" s="196">
        <f t="shared" si="42"/>
        <v>0</v>
      </c>
      <c r="M122" s="196">
        <f t="shared" si="42"/>
        <v>0</v>
      </c>
      <c r="N122" s="196">
        <f>N120-N121</f>
        <v>0</v>
      </c>
      <c r="O122" s="196">
        <f t="shared" si="42"/>
        <v>0</v>
      </c>
      <c r="P122" s="196">
        <f t="shared" si="42"/>
        <v>0</v>
      </c>
      <c r="Q122" s="196">
        <f t="shared" si="42"/>
        <v>0</v>
      </c>
      <c r="R122" s="196">
        <f t="shared" si="42"/>
        <v>0</v>
      </c>
      <c r="S122" s="196">
        <f t="shared" si="42"/>
        <v>0</v>
      </c>
      <c r="T122" s="196">
        <f t="shared" si="42"/>
        <v>0</v>
      </c>
      <c r="U122" s="9"/>
      <c r="V122" s="112">
        <f t="shared" ref="V122:Y122" si="43">V120-V121</f>
        <v>0</v>
      </c>
      <c r="W122" s="112">
        <f t="shared" si="43"/>
        <v>0</v>
      </c>
      <c r="X122" s="112">
        <f t="shared" si="43"/>
        <v>0</v>
      </c>
      <c r="Y122" s="112">
        <f t="shared" si="43"/>
        <v>0</v>
      </c>
      <c r="Z122" s="9"/>
      <c r="AA122" s="112">
        <f>AA120-AA121</f>
        <v>0</v>
      </c>
    </row>
    <row r="123" spans="1:27" ht="15.75" thickBot="1">
      <c r="A123" s="25"/>
      <c r="B123" s="11"/>
      <c r="C123" s="104" t="s">
        <v>21</v>
      </c>
      <c r="D123" s="104"/>
      <c r="E123" s="11"/>
      <c r="F123" s="11"/>
      <c r="G123" s="11"/>
      <c r="H123" s="11"/>
      <c r="I123" s="114">
        <f>I122/I121</f>
        <v>0</v>
      </c>
      <c r="J123" s="114">
        <f t="shared" ref="J123:T123" si="44">J122/J121</f>
        <v>0</v>
      </c>
      <c r="K123" s="114">
        <f t="shared" si="44"/>
        <v>0</v>
      </c>
      <c r="L123" s="114">
        <f t="shared" si="44"/>
        <v>0</v>
      </c>
      <c r="M123" s="114">
        <f t="shared" si="44"/>
        <v>0</v>
      </c>
      <c r="N123" s="114">
        <f t="shared" si="44"/>
        <v>0</v>
      </c>
      <c r="O123" s="114">
        <f t="shared" si="44"/>
        <v>0</v>
      </c>
      <c r="P123" s="114">
        <f t="shared" si="44"/>
        <v>0</v>
      </c>
      <c r="Q123" s="114">
        <f t="shared" si="44"/>
        <v>0</v>
      </c>
      <c r="R123" s="114">
        <f t="shared" si="44"/>
        <v>0</v>
      </c>
      <c r="S123" s="114">
        <f>S122/S121</f>
        <v>0</v>
      </c>
      <c r="T123" s="114">
        <f t="shared" si="44"/>
        <v>0</v>
      </c>
      <c r="U123" s="9"/>
      <c r="V123" s="114">
        <f t="shared" ref="V123:Y123" si="45">V122/V121</f>
        <v>0</v>
      </c>
      <c r="W123" s="114">
        <f t="shared" si="45"/>
        <v>0</v>
      </c>
      <c r="X123" s="114">
        <f t="shared" si="45"/>
        <v>0</v>
      </c>
      <c r="Y123" s="114">
        <f t="shared" si="45"/>
        <v>0</v>
      </c>
      <c r="Z123" s="9"/>
      <c r="AA123" s="114">
        <f>AA122/AA121</f>
        <v>0</v>
      </c>
    </row>
    <row r="124" spans="1:27">
      <c r="A124" s="25"/>
      <c r="B124" s="11"/>
      <c r="C124" s="104"/>
      <c r="D124" s="104"/>
      <c r="E124" s="11"/>
      <c r="F124" s="11"/>
      <c r="G124" s="11"/>
      <c r="H124" s="11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9"/>
      <c r="V124" s="115"/>
      <c r="W124" s="115"/>
      <c r="X124" s="115"/>
      <c r="Y124" s="115"/>
      <c r="Z124" s="9"/>
      <c r="AA124" s="115"/>
    </row>
    <row r="125" spans="1:27">
      <c r="A125" s="25"/>
      <c r="B125" s="11"/>
      <c r="C125" s="78" t="str">
        <f>CONCATENATE($E$6+1," Forecast")</f>
        <v>2026 Forecast</v>
      </c>
      <c r="D125" s="78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9"/>
      <c r="V125" s="115"/>
      <c r="W125" s="115"/>
      <c r="X125" s="115"/>
      <c r="Y125" s="115"/>
      <c r="Z125" s="9"/>
      <c r="AA125" s="115"/>
    </row>
    <row r="126" spans="1:27">
      <c r="A126" s="25"/>
      <c r="B126" s="11"/>
      <c r="C126" s="104" t="s">
        <v>17</v>
      </c>
      <c r="D126" s="104"/>
      <c r="E126" s="11"/>
      <c r="F126" s="11"/>
      <c r="G126" s="11"/>
      <c r="H126" s="11"/>
      <c r="I126" s="82">
        <v>480</v>
      </c>
      <c r="J126" s="82">
        <v>480</v>
      </c>
      <c r="K126" s="82">
        <v>480</v>
      </c>
      <c r="L126" s="82">
        <v>495</v>
      </c>
      <c r="M126" s="82">
        <v>495</v>
      </c>
      <c r="N126" s="82">
        <v>495</v>
      </c>
      <c r="O126" s="82">
        <v>495</v>
      </c>
      <c r="P126" s="82">
        <v>495</v>
      </c>
      <c r="Q126" s="82">
        <v>495</v>
      </c>
      <c r="R126" s="82">
        <v>495</v>
      </c>
      <c r="S126" s="82">
        <v>495</v>
      </c>
      <c r="T126" s="82">
        <v>495</v>
      </c>
      <c r="U126" s="9"/>
      <c r="V126" s="109">
        <f>(V198/V54)*1000</f>
        <v>480</v>
      </c>
      <c r="W126" s="109">
        <f t="shared" ref="W126:Y126" si="46">(W198/W54)*1000</f>
        <v>495</v>
      </c>
      <c r="X126" s="109">
        <f t="shared" si="46"/>
        <v>494.99999999999994</v>
      </c>
      <c r="Y126" s="109">
        <f t="shared" si="46"/>
        <v>495.00000000000006</v>
      </c>
      <c r="Z126" s="9"/>
      <c r="AA126" s="109">
        <f t="shared" ref="AA126:AA127" si="47">(AA198/AA54)*1000</f>
        <v>491.71016102165464</v>
      </c>
    </row>
    <row r="127" spans="1:27">
      <c r="A127" s="25"/>
      <c r="B127" s="11"/>
      <c r="C127" s="104" t="s">
        <v>19</v>
      </c>
      <c r="D127" s="104"/>
      <c r="E127" s="11"/>
      <c r="F127" s="11"/>
      <c r="G127" s="11"/>
      <c r="H127" s="11"/>
      <c r="I127" s="116">
        <v>480</v>
      </c>
      <c r="J127" s="116">
        <v>480</v>
      </c>
      <c r="K127" s="116">
        <v>480</v>
      </c>
      <c r="L127" s="116">
        <v>495</v>
      </c>
      <c r="M127" s="116">
        <v>495</v>
      </c>
      <c r="N127" s="116">
        <v>495</v>
      </c>
      <c r="O127" s="116">
        <v>495</v>
      </c>
      <c r="P127" s="116">
        <v>495</v>
      </c>
      <c r="Q127" s="116">
        <v>495</v>
      </c>
      <c r="R127" s="116">
        <v>495</v>
      </c>
      <c r="S127" s="116">
        <v>495</v>
      </c>
      <c r="T127" s="116">
        <v>495</v>
      </c>
      <c r="U127" s="9"/>
      <c r="V127" s="109">
        <f t="shared" ref="V127:Y127" si="48">(V199/V55)*1000</f>
        <v>480</v>
      </c>
      <c r="W127" s="109">
        <f t="shared" si="48"/>
        <v>495</v>
      </c>
      <c r="X127" s="109">
        <f t="shared" si="48"/>
        <v>494.99999999999994</v>
      </c>
      <c r="Y127" s="109">
        <f t="shared" si="48"/>
        <v>495.00000000000006</v>
      </c>
      <c r="Z127" s="9"/>
      <c r="AA127" s="109">
        <f t="shared" si="47"/>
        <v>491.71016102165464</v>
      </c>
    </row>
    <row r="128" spans="1:27">
      <c r="A128" s="25"/>
      <c r="B128" s="11"/>
      <c r="C128" s="104" t="s">
        <v>20</v>
      </c>
      <c r="D128" s="104"/>
      <c r="E128" s="11"/>
      <c r="F128" s="11"/>
      <c r="G128" s="11"/>
      <c r="H128" s="11"/>
      <c r="I128" s="80">
        <f>I126-I127</f>
        <v>0</v>
      </c>
      <c r="J128" s="80">
        <f t="shared" ref="J128:T128" si="49">J126-J127</f>
        <v>0</v>
      </c>
      <c r="K128" s="80">
        <f t="shared" si="49"/>
        <v>0</v>
      </c>
      <c r="L128" s="80">
        <f t="shared" si="49"/>
        <v>0</v>
      </c>
      <c r="M128" s="80">
        <f t="shared" si="49"/>
        <v>0</v>
      </c>
      <c r="N128" s="80">
        <f t="shared" si="49"/>
        <v>0</v>
      </c>
      <c r="O128" s="80">
        <f t="shared" si="49"/>
        <v>0</v>
      </c>
      <c r="P128" s="80">
        <f t="shared" si="49"/>
        <v>0</v>
      </c>
      <c r="Q128" s="80">
        <f t="shared" si="49"/>
        <v>0</v>
      </c>
      <c r="R128" s="80">
        <f t="shared" si="49"/>
        <v>0</v>
      </c>
      <c r="S128" s="80">
        <f t="shared" si="49"/>
        <v>0</v>
      </c>
      <c r="T128" s="80">
        <f t="shared" si="49"/>
        <v>0</v>
      </c>
      <c r="U128" s="9"/>
      <c r="V128" s="112">
        <f t="shared" ref="V128:Y128" si="50">V126-V127</f>
        <v>0</v>
      </c>
      <c r="W128" s="112">
        <f t="shared" si="50"/>
        <v>0</v>
      </c>
      <c r="X128" s="112">
        <f t="shared" si="50"/>
        <v>0</v>
      </c>
      <c r="Y128" s="112">
        <f t="shared" si="50"/>
        <v>0</v>
      </c>
      <c r="Z128" s="9"/>
      <c r="AA128" s="112">
        <f t="shared" ref="AA128" si="51">AA126-AA127</f>
        <v>0</v>
      </c>
    </row>
    <row r="129" spans="1:28" ht="15.75" thickBot="1">
      <c r="A129" s="25"/>
      <c r="B129" s="11"/>
      <c r="C129" s="104" t="s">
        <v>21</v>
      </c>
      <c r="D129" s="104"/>
      <c r="E129" s="11"/>
      <c r="F129" s="11"/>
      <c r="G129" s="11"/>
      <c r="H129" s="11"/>
      <c r="I129" s="114">
        <f>I128/I127</f>
        <v>0</v>
      </c>
      <c r="J129" s="114">
        <f t="shared" ref="J129:T129" si="52">J128/J127</f>
        <v>0</v>
      </c>
      <c r="K129" s="114">
        <f t="shared" si="52"/>
        <v>0</v>
      </c>
      <c r="L129" s="114">
        <f t="shared" si="52"/>
        <v>0</v>
      </c>
      <c r="M129" s="114">
        <f t="shared" si="52"/>
        <v>0</v>
      </c>
      <c r="N129" s="114">
        <f t="shared" si="52"/>
        <v>0</v>
      </c>
      <c r="O129" s="114">
        <f t="shared" si="52"/>
        <v>0</v>
      </c>
      <c r="P129" s="114">
        <f t="shared" si="52"/>
        <v>0</v>
      </c>
      <c r="Q129" s="114">
        <f t="shared" si="52"/>
        <v>0</v>
      </c>
      <c r="R129" s="114">
        <f t="shared" si="52"/>
        <v>0</v>
      </c>
      <c r="S129" s="114">
        <f t="shared" si="52"/>
        <v>0</v>
      </c>
      <c r="T129" s="114">
        <f t="shared" si="52"/>
        <v>0</v>
      </c>
      <c r="U129" s="9"/>
      <c r="V129" s="114">
        <f t="shared" ref="V129:Y129" si="53">V128/V127</f>
        <v>0</v>
      </c>
      <c r="W129" s="114">
        <f t="shared" si="53"/>
        <v>0</v>
      </c>
      <c r="X129" s="114">
        <f t="shared" si="53"/>
        <v>0</v>
      </c>
      <c r="Y129" s="114">
        <f t="shared" si="53"/>
        <v>0</v>
      </c>
      <c r="Z129" s="9"/>
      <c r="AA129" s="114">
        <f t="shared" ref="AA129" si="54">AA128/AA127</f>
        <v>0</v>
      </c>
    </row>
    <row r="133" spans="1:28" ht="18">
      <c r="A133" s="1"/>
      <c r="B133" s="11"/>
      <c r="C133" s="117" t="s">
        <v>27</v>
      </c>
      <c r="D133" s="118"/>
      <c r="E133" s="5"/>
      <c r="F133" s="5"/>
      <c r="G133" s="5"/>
      <c r="H133" s="5"/>
      <c r="I133" s="119"/>
      <c r="J133" s="120"/>
      <c r="K133" s="120"/>
      <c r="L133" s="5"/>
      <c r="M133" s="5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11"/>
    </row>
    <row r="134" spans="1:28">
      <c r="A134" s="1"/>
      <c r="B134" s="121"/>
      <c r="C134" s="121"/>
      <c r="D134" s="12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5.75" thickBot="1">
      <c r="A135" s="25"/>
      <c r="B135" s="9"/>
      <c r="C135" s="91" t="s">
        <v>9</v>
      </c>
      <c r="D135" s="91"/>
      <c r="E135" s="9"/>
      <c r="F135" s="9"/>
      <c r="G135" s="9"/>
      <c r="H135" s="9"/>
      <c r="I135" s="187">
        <f>I$6</f>
        <v>45658</v>
      </c>
      <c r="J135" s="188">
        <f t="shared" ref="J135:Y135" si="55">J$6</f>
        <v>45689</v>
      </c>
      <c r="K135" s="188">
        <f t="shared" si="55"/>
        <v>45717</v>
      </c>
      <c r="L135" s="189">
        <f t="shared" si="55"/>
        <v>45748</v>
      </c>
      <c r="M135" s="188">
        <f t="shared" si="55"/>
        <v>45778</v>
      </c>
      <c r="N135" s="188">
        <f t="shared" si="55"/>
        <v>45809</v>
      </c>
      <c r="O135" s="189">
        <f t="shared" si="55"/>
        <v>45839</v>
      </c>
      <c r="P135" s="188">
        <f t="shared" si="55"/>
        <v>45870</v>
      </c>
      <c r="Q135" s="188">
        <f t="shared" si="55"/>
        <v>45901</v>
      </c>
      <c r="R135" s="189">
        <f t="shared" si="55"/>
        <v>45931</v>
      </c>
      <c r="S135" s="188">
        <f t="shared" si="55"/>
        <v>45962</v>
      </c>
      <c r="T135" s="188">
        <f t="shared" si="55"/>
        <v>45992</v>
      </c>
      <c r="U135" s="33"/>
      <c r="V135" s="34">
        <f t="shared" si="55"/>
        <v>1</v>
      </c>
      <c r="W135" s="20">
        <f t="shared" si="55"/>
        <v>2</v>
      </c>
      <c r="X135" s="20">
        <f t="shared" si="55"/>
        <v>3</v>
      </c>
      <c r="Y135" s="20">
        <f t="shared" si="55"/>
        <v>4</v>
      </c>
      <c r="Z135" s="97"/>
      <c r="AA135" s="193" t="s">
        <v>3</v>
      </c>
      <c r="AB135" s="2"/>
    </row>
    <row r="136" spans="1:28">
      <c r="A136" s="3"/>
      <c r="B136" s="7"/>
      <c r="C136" s="99"/>
      <c r="D136" s="99"/>
      <c r="E136" s="7"/>
      <c r="F136" s="68"/>
      <c r="G136" s="68"/>
      <c r="H136" s="68"/>
      <c r="I136" s="100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39"/>
      <c r="U136" s="10"/>
      <c r="V136" s="102"/>
      <c r="W136" s="103"/>
      <c r="X136" s="103"/>
      <c r="Y136" s="103"/>
      <c r="Z136" s="10"/>
      <c r="AA136" s="102"/>
      <c r="AB136" s="10"/>
    </row>
    <row r="137" spans="1:28">
      <c r="A137" s="1"/>
      <c r="B137" s="11"/>
      <c r="C137" s="123" t="s">
        <v>23</v>
      </c>
      <c r="D137" s="86"/>
      <c r="E137" s="197" t="s">
        <v>5</v>
      </c>
      <c r="F137" s="198" t="s">
        <v>24</v>
      </c>
      <c r="G137" s="199" t="str">
        <f>$E$9</f>
        <v>YEARS</v>
      </c>
      <c r="H137" s="127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1"/>
      <c r="V137" s="11"/>
      <c r="W137" s="11"/>
      <c r="X137" s="11"/>
      <c r="Y137" s="11"/>
      <c r="Z137" s="11"/>
      <c r="AA137" s="11"/>
      <c r="AB137" s="11"/>
    </row>
    <row r="138" spans="1:28">
      <c r="A138" s="1"/>
      <c r="B138" s="11"/>
      <c r="C138" s="129">
        <f>C139-1</f>
        <v>2022</v>
      </c>
      <c r="D138" s="55"/>
      <c r="E138" s="200">
        <v>1</v>
      </c>
      <c r="F138" s="201">
        <v>0</v>
      </c>
      <c r="G138" s="202">
        <f>INDEX(E138:F138, MATCH($G$137, $E$137:$F$137, 0))</f>
        <v>1</v>
      </c>
      <c r="H138" s="133"/>
      <c r="I138" s="134">
        <v>421</v>
      </c>
      <c r="J138" s="135">
        <v>422</v>
      </c>
      <c r="K138" s="135">
        <v>422</v>
      </c>
      <c r="L138" s="135">
        <v>436</v>
      </c>
      <c r="M138" s="135">
        <v>437</v>
      </c>
      <c r="N138" s="135">
        <v>437</v>
      </c>
      <c r="O138" s="135">
        <v>436</v>
      </c>
      <c r="P138" s="135">
        <v>434</v>
      </c>
      <c r="Q138" s="135">
        <v>434</v>
      </c>
      <c r="R138" s="135">
        <v>436</v>
      </c>
      <c r="S138" s="135">
        <v>433</v>
      </c>
      <c r="T138" s="136">
        <v>436</v>
      </c>
      <c r="U138" s="11"/>
      <c r="V138" s="203">
        <f t="shared" ref="V138:Y143" si="56">(V210/V66)*1000</f>
        <v>421.61431742508324</v>
      </c>
      <c r="W138" s="204">
        <f t="shared" si="56"/>
        <v>436.73959620931186</v>
      </c>
      <c r="X138" s="204">
        <f t="shared" si="56"/>
        <v>434.71087533156498</v>
      </c>
      <c r="Y138" s="205">
        <f t="shared" si="56"/>
        <v>434.93722510995605</v>
      </c>
      <c r="Z138" s="11"/>
      <c r="AA138" s="206">
        <f t="shared" ref="AA138:AA143" si="57">(AA210/AA66)*1000</f>
        <v>432.85265750051303</v>
      </c>
      <c r="AB138" s="11"/>
    </row>
    <row r="139" spans="1:28">
      <c r="A139" s="1"/>
      <c r="B139" s="11"/>
      <c r="C139" s="129">
        <f>C140-1</f>
        <v>2023</v>
      </c>
      <c r="D139" s="55"/>
      <c r="E139" s="207">
        <v>1</v>
      </c>
      <c r="F139" s="208">
        <v>0</v>
      </c>
      <c r="G139" s="209">
        <f t="shared" ref="G139:G143" si="58">INDEX(E139:F139, MATCH($G$137, $E$137:$F$137, 0))</f>
        <v>1</v>
      </c>
      <c r="H139" s="55"/>
      <c r="I139" s="144">
        <v>434</v>
      </c>
      <c r="J139" s="128">
        <v>437</v>
      </c>
      <c r="K139" s="128">
        <v>437</v>
      </c>
      <c r="L139" s="128">
        <v>450</v>
      </c>
      <c r="M139" s="128">
        <v>448</v>
      </c>
      <c r="N139" s="128">
        <v>448</v>
      </c>
      <c r="O139" s="128">
        <v>451</v>
      </c>
      <c r="P139" s="128">
        <v>450</v>
      </c>
      <c r="Q139" s="128">
        <v>452</v>
      </c>
      <c r="R139" s="128">
        <v>450</v>
      </c>
      <c r="S139" s="128">
        <v>450</v>
      </c>
      <c r="T139" s="145">
        <v>452</v>
      </c>
      <c r="U139" s="11"/>
      <c r="V139" s="210">
        <f t="shared" si="56"/>
        <v>435.83544303797458</v>
      </c>
      <c r="W139" s="211">
        <f t="shared" si="56"/>
        <v>448.53606172425361</v>
      </c>
      <c r="X139" s="211">
        <f t="shared" si="56"/>
        <v>450.94860335195534</v>
      </c>
      <c r="Y139" s="212">
        <f t="shared" si="56"/>
        <v>450.60118655240603</v>
      </c>
      <c r="Z139" s="11"/>
      <c r="AA139" s="213">
        <f t="shared" si="57"/>
        <v>447.26585875470118</v>
      </c>
      <c r="AB139" s="11"/>
    </row>
    <row r="140" spans="1:28">
      <c r="A140" s="1"/>
      <c r="B140" s="11"/>
      <c r="C140" s="129">
        <f>C141-1</f>
        <v>2024</v>
      </c>
      <c r="D140" s="55"/>
      <c r="E140" s="207">
        <v>1</v>
      </c>
      <c r="F140" s="208">
        <v>0</v>
      </c>
      <c r="G140" s="209">
        <f t="shared" si="58"/>
        <v>1</v>
      </c>
      <c r="H140" s="55"/>
      <c r="I140" s="144">
        <v>450</v>
      </c>
      <c r="J140" s="128">
        <v>452</v>
      </c>
      <c r="K140" s="128">
        <v>451</v>
      </c>
      <c r="L140" s="128">
        <v>466</v>
      </c>
      <c r="M140" s="128">
        <v>464</v>
      </c>
      <c r="N140" s="128">
        <v>463</v>
      </c>
      <c r="O140" s="128">
        <v>464</v>
      </c>
      <c r="P140" s="128">
        <v>467</v>
      </c>
      <c r="Q140" s="128">
        <v>463</v>
      </c>
      <c r="R140" s="128">
        <v>465</v>
      </c>
      <c r="S140" s="128">
        <v>465</v>
      </c>
      <c r="T140" s="145">
        <v>463</v>
      </c>
      <c r="U140" s="11"/>
      <c r="V140" s="214">
        <f t="shared" si="56"/>
        <v>450.95241309483629</v>
      </c>
      <c r="W140" s="215">
        <f t="shared" si="56"/>
        <v>464.17204884667569</v>
      </c>
      <c r="X140" s="215">
        <f t="shared" si="56"/>
        <v>464.73775894538608</v>
      </c>
      <c r="Y140" s="216">
        <f t="shared" si="56"/>
        <v>464.3925965955147</v>
      </c>
      <c r="Z140" s="11"/>
      <c r="AA140" s="213">
        <f t="shared" si="57"/>
        <v>461.70918681920944</v>
      </c>
      <c r="AB140" s="11"/>
    </row>
    <row r="141" spans="1:28">
      <c r="A141" s="1"/>
      <c r="B141" s="11"/>
      <c r="C141" s="153">
        <f>$E$6</f>
        <v>2025</v>
      </c>
      <c r="D141" s="55"/>
      <c r="E141" s="217">
        <v>1</v>
      </c>
      <c r="F141" s="218">
        <v>1</v>
      </c>
      <c r="G141" s="219">
        <f t="shared" si="58"/>
        <v>1</v>
      </c>
      <c r="H141" s="55"/>
      <c r="I141" s="220">
        <f>I120</f>
        <v>465</v>
      </c>
      <c r="J141" s="221">
        <f t="shared" ref="J141:T141" si="59">J120</f>
        <v>465</v>
      </c>
      <c r="K141" s="221">
        <f t="shared" si="59"/>
        <v>465</v>
      </c>
      <c r="L141" s="221">
        <f t="shared" si="59"/>
        <v>480</v>
      </c>
      <c r="M141" s="221">
        <f t="shared" si="59"/>
        <v>480</v>
      </c>
      <c r="N141" s="221">
        <f t="shared" si="59"/>
        <v>480</v>
      </c>
      <c r="O141" s="221">
        <f t="shared" si="59"/>
        <v>480</v>
      </c>
      <c r="P141" s="221">
        <f t="shared" si="59"/>
        <v>480</v>
      </c>
      <c r="Q141" s="221">
        <f t="shared" si="59"/>
        <v>480</v>
      </c>
      <c r="R141" s="221">
        <f t="shared" si="59"/>
        <v>480</v>
      </c>
      <c r="S141" s="221">
        <f t="shared" si="59"/>
        <v>480</v>
      </c>
      <c r="T141" s="222">
        <f t="shared" si="59"/>
        <v>480</v>
      </c>
      <c r="U141" s="11"/>
      <c r="V141" s="210">
        <f t="shared" si="56"/>
        <v>465</v>
      </c>
      <c r="W141" s="211">
        <f t="shared" si="56"/>
        <v>480</v>
      </c>
      <c r="X141" s="211">
        <f t="shared" si="56"/>
        <v>480</v>
      </c>
      <c r="Y141" s="212">
        <f t="shared" si="56"/>
        <v>480</v>
      </c>
      <c r="Z141" s="11"/>
      <c r="AA141" s="223">
        <f t="shared" si="57"/>
        <v>476.859375</v>
      </c>
      <c r="AB141" s="11"/>
    </row>
    <row r="142" spans="1:28">
      <c r="A142" s="1"/>
      <c r="B142" s="11"/>
      <c r="C142" s="161">
        <f>C141+1</f>
        <v>2026</v>
      </c>
      <c r="D142" s="55"/>
      <c r="E142" s="207">
        <v>1</v>
      </c>
      <c r="F142" s="208">
        <v>0</v>
      </c>
      <c r="G142" s="209">
        <f t="shared" si="58"/>
        <v>1</v>
      </c>
      <c r="H142" s="55"/>
      <c r="I142" s="224">
        <f>I126</f>
        <v>480</v>
      </c>
      <c r="J142" s="225">
        <f t="shared" ref="J142:T142" si="60">J126</f>
        <v>480</v>
      </c>
      <c r="K142" s="225">
        <f t="shared" si="60"/>
        <v>480</v>
      </c>
      <c r="L142" s="225">
        <f t="shared" si="60"/>
        <v>495</v>
      </c>
      <c r="M142" s="225">
        <f t="shared" si="60"/>
        <v>495</v>
      </c>
      <c r="N142" s="225">
        <f t="shared" si="60"/>
        <v>495</v>
      </c>
      <c r="O142" s="225">
        <f t="shared" si="60"/>
        <v>495</v>
      </c>
      <c r="P142" s="225">
        <f t="shared" si="60"/>
        <v>495</v>
      </c>
      <c r="Q142" s="225">
        <f t="shared" si="60"/>
        <v>495</v>
      </c>
      <c r="R142" s="225">
        <f t="shared" si="60"/>
        <v>495</v>
      </c>
      <c r="S142" s="225">
        <f t="shared" si="60"/>
        <v>495</v>
      </c>
      <c r="T142" s="226">
        <f t="shared" si="60"/>
        <v>495</v>
      </c>
      <c r="U142" s="11"/>
      <c r="V142" s="203">
        <f t="shared" si="56"/>
        <v>480</v>
      </c>
      <c r="W142" s="204">
        <f t="shared" si="56"/>
        <v>495</v>
      </c>
      <c r="X142" s="204">
        <f t="shared" si="56"/>
        <v>494.99999999999994</v>
      </c>
      <c r="Y142" s="205">
        <f t="shared" si="56"/>
        <v>495.00000000000006</v>
      </c>
      <c r="Z142" s="11"/>
      <c r="AA142" s="213">
        <f t="shared" si="57"/>
        <v>491.71016102165464</v>
      </c>
      <c r="AB142" s="11"/>
    </row>
    <row r="143" spans="1:28">
      <c r="A143" s="165"/>
      <c r="B143" s="37"/>
      <c r="C143" s="129" t="s">
        <v>25</v>
      </c>
      <c r="D143" s="55"/>
      <c r="E143" s="227">
        <v>0</v>
      </c>
      <c r="F143" s="228">
        <v>1</v>
      </c>
      <c r="G143" s="229">
        <f t="shared" si="58"/>
        <v>0</v>
      </c>
      <c r="H143" s="55"/>
      <c r="I143" s="169">
        <v>465</v>
      </c>
      <c r="J143" s="170">
        <v>465</v>
      </c>
      <c r="K143" s="170">
        <v>465</v>
      </c>
      <c r="L143" s="170">
        <v>480</v>
      </c>
      <c r="M143" s="170">
        <v>480</v>
      </c>
      <c r="N143" s="170">
        <v>480</v>
      </c>
      <c r="O143" s="170">
        <v>480</v>
      </c>
      <c r="P143" s="170">
        <v>480</v>
      </c>
      <c r="Q143" s="170">
        <v>480</v>
      </c>
      <c r="R143" s="170">
        <v>480</v>
      </c>
      <c r="S143" s="170">
        <v>480</v>
      </c>
      <c r="T143" s="170">
        <v>480</v>
      </c>
      <c r="U143" s="171"/>
      <c r="V143" s="230">
        <f t="shared" si="56"/>
        <v>465</v>
      </c>
      <c r="W143" s="231">
        <f t="shared" si="56"/>
        <v>480</v>
      </c>
      <c r="X143" s="231">
        <f t="shared" si="56"/>
        <v>480</v>
      </c>
      <c r="Y143" s="231">
        <f t="shared" si="56"/>
        <v>480</v>
      </c>
      <c r="Z143" s="171"/>
      <c r="AA143" s="230">
        <f t="shared" si="57"/>
        <v>476.859375</v>
      </c>
      <c r="AB143" s="171"/>
    </row>
    <row r="144" spans="1:28">
      <c r="A144" s="1"/>
      <c r="B144" s="11"/>
      <c r="C144" s="174"/>
      <c r="D144" s="174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>
      <c r="A145" s="1"/>
      <c r="B145" s="11"/>
      <c r="C145" s="174"/>
      <c r="D145" s="174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>
      <c r="A146" s="1"/>
      <c r="B146" s="11"/>
      <c r="C146" s="123" t="s">
        <v>23</v>
      </c>
      <c r="D146" s="86"/>
      <c r="E146" s="127"/>
      <c r="F146" s="127"/>
      <c r="G146" s="199" t="str">
        <f>$E$9</f>
        <v>YEARS</v>
      </c>
      <c r="H146" s="127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>
      <c r="A147" s="1"/>
      <c r="B147" s="11"/>
      <c r="C147" s="129">
        <f>C138</f>
        <v>2022</v>
      </c>
      <c r="D147" s="55"/>
      <c r="E147" s="55"/>
      <c r="F147" s="55"/>
      <c r="G147" s="202">
        <f>G138</f>
        <v>1</v>
      </c>
      <c r="H147" s="55"/>
      <c r="I147" s="232">
        <f>IF($G147=0,NA(),I138)</f>
        <v>421</v>
      </c>
      <c r="J147" s="233">
        <f t="shared" ref="J147:T147" si="61">IF($G147=0,NA(),J138)</f>
        <v>422</v>
      </c>
      <c r="K147" s="233">
        <f t="shared" si="61"/>
        <v>422</v>
      </c>
      <c r="L147" s="233">
        <f t="shared" si="61"/>
        <v>436</v>
      </c>
      <c r="M147" s="233">
        <f t="shared" si="61"/>
        <v>437</v>
      </c>
      <c r="N147" s="233">
        <f t="shared" si="61"/>
        <v>437</v>
      </c>
      <c r="O147" s="233">
        <f t="shared" si="61"/>
        <v>436</v>
      </c>
      <c r="P147" s="233">
        <f t="shared" si="61"/>
        <v>434</v>
      </c>
      <c r="Q147" s="233">
        <f t="shared" si="61"/>
        <v>434</v>
      </c>
      <c r="R147" s="233">
        <f t="shared" si="61"/>
        <v>436</v>
      </c>
      <c r="S147" s="233">
        <f t="shared" si="61"/>
        <v>433</v>
      </c>
      <c r="T147" s="234">
        <f t="shared" si="61"/>
        <v>436</v>
      </c>
      <c r="U147" s="11"/>
      <c r="V147" s="232">
        <f>IF($G147=0,NA(),V138)</f>
        <v>421.61431742508324</v>
      </c>
      <c r="W147" s="233">
        <f t="shared" ref="V147:Y149" si="62">IF($G147=0,NA(),W138)</f>
        <v>436.73959620931186</v>
      </c>
      <c r="X147" s="233">
        <f t="shared" si="62"/>
        <v>434.71087533156498</v>
      </c>
      <c r="Y147" s="234">
        <f t="shared" si="62"/>
        <v>434.93722510995605</v>
      </c>
      <c r="Z147" s="11"/>
      <c r="AA147" s="232">
        <f>(AA219/AA75)*1000</f>
        <v>432.85265750051303</v>
      </c>
      <c r="AB147" s="234">
        <f>AA147</f>
        <v>432.85265750051303</v>
      </c>
    </row>
    <row r="148" spans="1:28">
      <c r="A148" s="1"/>
      <c r="B148" s="11"/>
      <c r="C148" s="129">
        <f>C139</f>
        <v>2023</v>
      </c>
      <c r="D148" s="55"/>
      <c r="E148" s="55"/>
      <c r="F148" s="55"/>
      <c r="G148" s="209">
        <f>G139</f>
        <v>1</v>
      </c>
      <c r="H148" s="55"/>
      <c r="I148" s="224">
        <f t="shared" ref="I148:T149" si="63">IF($G148=0,NA(),I139)</f>
        <v>434</v>
      </c>
      <c r="J148" s="225">
        <f t="shared" si="63"/>
        <v>437</v>
      </c>
      <c r="K148" s="225">
        <f t="shared" si="63"/>
        <v>437</v>
      </c>
      <c r="L148" s="225">
        <f t="shared" si="63"/>
        <v>450</v>
      </c>
      <c r="M148" s="225">
        <f t="shared" si="63"/>
        <v>448</v>
      </c>
      <c r="N148" s="225">
        <f t="shared" si="63"/>
        <v>448</v>
      </c>
      <c r="O148" s="225">
        <f t="shared" si="63"/>
        <v>451</v>
      </c>
      <c r="P148" s="225">
        <f t="shared" si="63"/>
        <v>450</v>
      </c>
      <c r="Q148" s="225">
        <f t="shared" si="63"/>
        <v>452</v>
      </c>
      <c r="R148" s="225">
        <f t="shared" si="63"/>
        <v>450</v>
      </c>
      <c r="S148" s="225">
        <f t="shared" si="63"/>
        <v>450</v>
      </c>
      <c r="T148" s="226">
        <f t="shared" si="63"/>
        <v>452</v>
      </c>
      <c r="U148" s="11"/>
      <c r="V148" s="224">
        <f t="shared" si="62"/>
        <v>435.83544303797458</v>
      </c>
      <c r="W148" s="225">
        <f t="shared" si="62"/>
        <v>448.53606172425361</v>
      </c>
      <c r="X148" s="225">
        <f t="shared" si="62"/>
        <v>450.94860335195534</v>
      </c>
      <c r="Y148" s="226">
        <f t="shared" si="62"/>
        <v>450.60118655240603</v>
      </c>
      <c r="Z148" s="11"/>
      <c r="AA148" s="224">
        <f t="shared" ref="AA148:AA153" si="64">(AA220/AA76)*1000</f>
        <v>447.26585875470118</v>
      </c>
      <c r="AB148" s="226">
        <f t="shared" ref="AB148:AB149" si="65">AA148</f>
        <v>447.26585875470118</v>
      </c>
    </row>
    <row r="149" spans="1:28">
      <c r="A149" s="1"/>
      <c r="B149" s="11"/>
      <c r="C149" s="129">
        <f>C140</f>
        <v>2024</v>
      </c>
      <c r="D149" s="55"/>
      <c r="E149" s="55"/>
      <c r="F149" s="55"/>
      <c r="G149" s="209">
        <f>G140</f>
        <v>1</v>
      </c>
      <c r="H149" s="55"/>
      <c r="I149" s="224">
        <f t="shared" si="63"/>
        <v>450</v>
      </c>
      <c r="J149" s="225">
        <f t="shared" si="63"/>
        <v>452</v>
      </c>
      <c r="K149" s="225">
        <f t="shared" si="63"/>
        <v>451</v>
      </c>
      <c r="L149" s="225">
        <f t="shared" si="63"/>
        <v>466</v>
      </c>
      <c r="M149" s="225">
        <f t="shared" si="63"/>
        <v>464</v>
      </c>
      <c r="N149" s="225">
        <f t="shared" si="63"/>
        <v>463</v>
      </c>
      <c r="O149" s="225">
        <f t="shared" si="63"/>
        <v>464</v>
      </c>
      <c r="P149" s="225">
        <f t="shared" si="63"/>
        <v>467</v>
      </c>
      <c r="Q149" s="225">
        <f t="shared" si="63"/>
        <v>463</v>
      </c>
      <c r="R149" s="225">
        <f t="shared" si="63"/>
        <v>465</v>
      </c>
      <c r="S149" s="225">
        <f t="shared" si="63"/>
        <v>465</v>
      </c>
      <c r="T149" s="226">
        <f t="shared" si="63"/>
        <v>463</v>
      </c>
      <c r="U149" s="11"/>
      <c r="V149" s="224">
        <f t="shared" si="62"/>
        <v>450.95241309483629</v>
      </c>
      <c r="W149" s="225">
        <f t="shared" si="62"/>
        <v>464.17204884667569</v>
      </c>
      <c r="X149" s="225">
        <f t="shared" si="62"/>
        <v>464.73775894538608</v>
      </c>
      <c r="Y149" s="226">
        <f t="shared" si="62"/>
        <v>464.3925965955147</v>
      </c>
      <c r="Z149" s="11"/>
      <c r="AA149" s="224">
        <f t="shared" si="64"/>
        <v>461.70918681920944</v>
      </c>
      <c r="AB149" s="226">
        <f t="shared" si="65"/>
        <v>461.70918681920944</v>
      </c>
    </row>
    <row r="150" spans="1:28">
      <c r="A150" s="1"/>
      <c r="B150" s="11"/>
      <c r="C150" s="179">
        <f>C141</f>
        <v>2025</v>
      </c>
      <c r="D150" s="180" t="s">
        <v>7</v>
      </c>
      <c r="E150" s="55"/>
      <c r="F150" s="55"/>
      <c r="G150" s="235">
        <f>G141</f>
        <v>1</v>
      </c>
      <c r="H150" s="55"/>
      <c r="I150" s="232">
        <f>IF($G150=0,NA(),IFERROR(I141/I119,NA()))</f>
        <v>465</v>
      </c>
      <c r="J150" s="233">
        <f t="shared" ref="J150:T150" si="66">IF($G150=0,NA(),IFERROR(J141/J119,NA()))</f>
        <v>465</v>
      </c>
      <c r="K150" s="233">
        <f t="shared" si="66"/>
        <v>465</v>
      </c>
      <c r="L150" s="233">
        <f t="shared" si="66"/>
        <v>480</v>
      </c>
      <c r="M150" s="233">
        <f t="shared" si="66"/>
        <v>480</v>
      </c>
      <c r="N150" s="233">
        <f t="shared" si="66"/>
        <v>480</v>
      </c>
      <c r="O150" s="233">
        <f t="shared" si="66"/>
        <v>480</v>
      </c>
      <c r="P150" s="233">
        <f t="shared" si="66"/>
        <v>480</v>
      </c>
      <c r="Q150" s="233">
        <f t="shared" si="66"/>
        <v>480</v>
      </c>
      <c r="R150" s="233">
        <f t="shared" si="66"/>
        <v>480</v>
      </c>
      <c r="S150" s="233">
        <f t="shared" si="66"/>
        <v>480</v>
      </c>
      <c r="T150" s="234">
        <f t="shared" si="66"/>
        <v>480</v>
      </c>
      <c r="U150" s="11"/>
      <c r="V150" s="232">
        <f>IF($G150=0,NA(),IFERROR(V141/V119,NA()))</f>
        <v>465</v>
      </c>
      <c r="W150" s="233">
        <f t="shared" ref="W150:Y150" si="67">IF($G150=0,NA(),IFERROR(W141/W119,NA()))</f>
        <v>480</v>
      </c>
      <c r="X150" s="233">
        <f t="shared" si="67"/>
        <v>480</v>
      </c>
      <c r="Y150" s="234">
        <f t="shared" si="67"/>
        <v>480</v>
      </c>
      <c r="Z150" s="11"/>
      <c r="AA150" s="232">
        <f t="shared" si="64"/>
        <v>476.859375</v>
      </c>
      <c r="AB150" s="234">
        <f>AA150</f>
        <v>476.859375</v>
      </c>
    </row>
    <row r="151" spans="1:28">
      <c r="A151" s="1"/>
      <c r="B151" s="11"/>
      <c r="C151" s="182">
        <f>$C$78</f>
        <v>2025</v>
      </c>
      <c r="D151" s="183" t="s">
        <v>6</v>
      </c>
      <c r="E151" s="55"/>
      <c r="F151" s="55"/>
      <c r="G151" s="209">
        <f>G150</f>
        <v>1</v>
      </c>
      <c r="H151" s="55"/>
      <c r="I151" s="230">
        <f>IF($G151=0,NA(),I141)</f>
        <v>465</v>
      </c>
      <c r="J151" s="231">
        <f t="shared" ref="J151:T151" si="68">IF($G151=0,NA(),J141)</f>
        <v>465</v>
      </c>
      <c r="K151" s="231">
        <f t="shared" si="68"/>
        <v>465</v>
      </c>
      <c r="L151" s="231">
        <f t="shared" si="68"/>
        <v>480</v>
      </c>
      <c r="M151" s="231">
        <f t="shared" si="68"/>
        <v>480</v>
      </c>
      <c r="N151" s="231">
        <f t="shared" si="68"/>
        <v>480</v>
      </c>
      <c r="O151" s="231">
        <f t="shared" si="68"/>
        <v>480</v>
      </c>
      <c r="P151" s="231">
        <f t="shared" si="68"/>
        <v>480</v>
      </c>
      <c r="Q151" s="231">
        <f t="shared" si="68"/>
        <v>480</v>
      </c>
      <c r="R151" s="231">
        <f t="shared" si="68"/>
        <v>480</v>
      </c>
      <c r="S151" s="231">
        <f t="shared" si="68"/>
        <v>480</v>
      </c>
      <c r="T151" s="236">
        <f t="shared" si="68"/>
        <v>480</v>
      </c>
      <c r="U151" s="11"/>
      <c r="V151" s="230">
        <f t="shared" ref="V151:Y153" si="69">IF($G151=0,NA(),V141)</f>
        <v>465</v>
      </c>
      <c r="W151" s="231">
        <f t="shared" si="69"/>
        <v>480</v>
      </c>
      <c r="X151" s="231">
        <f t="shared" si="69"/>
        <v>480</v>
      </c>
      <c r="Y151" s="236">
        <f t="shared" si="69"/>
        <v>480</v>
      </c>
      <c r="Z151" s="11"/>
      <c r="AA151" s="230">
        <f t="shared" si="64"/>
        <v>476.859375</v>
      </c>
      <c r="AB151" s="236">
        <f>AA151</f>
        <v>476.859375</v>
      </c>
    </row>
    <row r="152" spans="1:28">
      <c r="A152" s="1"/>
      <c r="B152" s="11"/>
      <c r="C152" s="185">
        <f>C142</f>
        <v>2026</v>
      </c>
      <c r="D152" s="42"/>
      <c r="E152" s="55"/>
      <c r="F152" s="55"/>
      <c r="G152" s="235">
        <f>G142</f>
        <v>1</v>
      </c>
      <c r="H152" s="55"/>
      <c r="I152" s="224">
        <f t="shared" ref="I152:T153" si="70">IF($G152=0,NA(),I142)</f>
        <v>480</v>
      </c>
      <c r="J152" s="225">
        <f t="shared" si="70"/>
        <v>480</v>
      </c>
      <c r="K152" s="225">
        <f t="shared" si="70"/>
        <v>480</v>
      </c>
      <c r="L152" s="225">
        <f t="shared" si="70"/>
        <v>495</v>
      </c>
      <c r="M152" s="225">
        <f t="shared" si="70"/>
        <v>495</v>
      </c>
      <c r="N152" s="225">
        <f t="shared" si="70"/>
        <v>495</v>
      </c>
      <c r="O152" s="225">
        <f t="shared" si="70"/>
        <v>495</v>
      </c>
      <c r="P152" s="225">
        <f t="shared" si="70"/>
        <v>495</v>
      </c>
      <c r="Q152" s="225">
        <f t="shared" si="70"/>
        <v>495</v>
      </c>
      <c r="R152" s="225">
        <f t="shared" si="70"/>
        <v>495</v>
      </c>
      <c r="S152" s="225">
        <f t="shared" si="70"/>
        <v>495</v>
      </c>
      <c r="T152" s="226">
        <f t="shared" si="70"/>
        <v>495</v>
      </c>
      <c r="U152" s="11"/>
      <c r="V152" s="224">
        <f t="shared" si="69"/>
        <v>480</v>
      </c>
      <c r="W152" s="225">
        <f t="shared" si="69"/>
        <v>495</v>
      </c>
      <c r="X152" s="225">
        <f t="shared" si="69"/>
        <v>494.99999999999994</v>
      </c>
      <c r="Y152" s="226">
        <f t="shared" si="69"/>
        <v>495.00000000000006</v>
      </c>
      <c r="Z152" s="11"/>
      <c r="AA152" s="224">
        <f t="shared" si="64"/>
        <v>491.71016102165464</v>
      </c>
      <c r="AB152" s="226">
        <f>AA152</f>
        <v>491.71016102165464</v>
      </c>
    </row>
    <row r="153" spans="1:28">
      <c r="A153" s="1"/>
      <c r="B153" s="11"/>
      <c r="C153" s="185" t="s">
        <v>25</v>
      </c>
      <c r="D153" s="42"/>
      <c r="E153" s="42"/>
      <c r="F153" s="42"/>
      <c r="G153" s="229">
        <f>G143</f>
        <v>0</v>
      </c>
      <c r="H153" s="42"/>
      <c r="I153" s="230" t="e">
        <f t="shared" si="70"/>
        <v>#N/A</v>
      </c>
      <c r="J153" s="231" t="e">
        <f t="shared" si="70"/>
        <v>#N/A</v>
      </c>
      <c r="K153" s="231" t="e">
        <f t="shared" si="70"/>
        <v>#N/A</v>
      </c>
      <c r="L153" s="231" t="e">
        <f t="shared" si="70"/>
        <v>#N/A</v>
      </c>
      <c r="M153" s="231" t="e">
        <f t="shared" si="70"/>
        <v>#N/A</v>
      </c>
      <c r="N153" s="231" t="e">
        <f t="shared" si="70"/>
        <v>#N/A</v>
      </c>
      <c r="O153" s="231" t="e">
        <f t="shared" si="70"/>
        <v>#N/A</v>
      </c>
      <c r="P153" s="231" t="e">
        <f t="shared" si="70"/>
        <v>#N/A</v>
      </c>
      <c r="Q153" s="231" t="e">
        <f t="shared" si="70"/>
        <v>#N/A</v>
      </c>
      <c r="R153" s="231" t="e">
        <f t="shared" si="70"/>
        <v>#N/A</v>
      </c>
      <c r="S153" s="231" t="e">
        <f t="shared" si="70"/>
        <v>#N/A</v>
      </c>
      <c r="T153" s="236" t="e">
        <f t="shared" si="70"/>
        <v>#N/A</v>
      </c>
      <c r="U153" s="11"/>
      <c r="V153" s="230" t="e">
        <f t="shared" si="69"/>
        <v>#N/A</v>
      </c>
      <c r="W153" s="231" t="e">
        <f t="shared" si="69"/>
        <v>#N/A</v>
      </c>
      <c r="X153" s="231" t="e">
        <f t="shared" si="69"/>
        <v>#N/A</v>
      </c>
      <c r="Y153" s="236" t="e">
        <f t="shared" si="69"/>
        <v>#N/A</v>
      </c>
      <c r="Z153" s="11"/>
      <c r="AA153" s="230" t="e">
        <f t="shared" si="64"/>
        <v>#N/A</v>
      </c>
      <c r="AB153" s="236" t="e">
        <f>AA153</f>
        <v>#N/A</v>
      </c>
    </row>
    <row r="157" spans="1:28" ht="18">
      <c r="A157" s="3"/>
      <c r="B157" s="64" t="s">
        <v>28</v>
      </c>
      <c r="C157" s="64"/>
      <c r="D157" s="64"/>
      <c r="E157" s="65"/>
      <c r="F157" s="65"/>
      <c r="G157" s="65"/>
      <c r="H157" s="65"/>
      <c r="I157" s="65"/>
      <c r="J157" s="65"/>
      <c r="K157" s="65"/>
      <c r="L157" s="66"/>
      <c r="M157" s="5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 spans="1:28">
      <c r="A158" s="3"/>
      <c r="B158" s="7"/>
      <c r="C158" s="7"/>
      <c r="D158" s="7"/>
      <c r="E158" s="68"/>
      <c r="F158" s="68"/>
      <c r="G158" s="68"/>
      <c r="H158" s="68"/>
      <c r="I158" s="6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9"/>
      <c r="U158" s="10"/>
      <c r="V158" s="7"/>
      <c r="W158" s="10"/>
      <c r="X158" s="10"/>
      <c r="Y158" s="10"/>
      <c r="Z158" s="10"/>
      <c r="AA158" s="7"/>
    </row>
    <row r="159" spans="1:28">
      <c r="A159" s="9"/>
      <c r="B159" s="90" t="s">
        <v>29</v>
      </c>
      <c r="C159" s="70"/>
      <c r="D159" s="70"/>
      <c r="E159" s="70"/>
      <c r="F159" s="70"/>
      <c r="G159" s="70"/>
      <c r="H159" s="11"/>
      <c r="I159" s="11"/>
      <c r="J159" s="11"/>
      <c r="K159" s="11"/>
      <c r="L159" s="71" t="s">
        <v>10</v>
      </c>
      <c r="M159" s="9"/>
      <c r="N159" s="9"/>
      <c r="O159" s="9"/>
      <c r="P159" s="9"/>
      <c r="Q159" s="11"/>
      <c r="R159" s="11"/>
      <c r="S159" s="11"/>
      <c r="T159" s="72" t="str">
        <f>$E$9</f>
        <v>YEARS</v>
      </c>
      <c r="U159" s="11"/>
      <c r="V159" s="71" t="s">
        <v>11</v>
      </c>
      <c r="W159" s="9"/>
      <c r="X159" s="9"/>
      <c r="Y159" s="9"/>
      <c r="Z159" s="9"/>
      <c r="AA159" s="72" t="str">
        <f>$E$9</f>
        <v>YEARS</v>
      </c>
    </row>
    <row r="160" spans="1:28">
      <c r="A160" s="9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74"/>
      <c r="M160" s="9"/>
      <c r="N160" s="9"/>
      <c r="O160" s="9"/>
      <c r="P160" s="9"/>
      <c r="Q160" s="9"/>
      <c r="R160" s="11"/>
      <c r="S160" s="11"/>
      <c r="T160" s="11"/>
      <c r="U160" s="11"/>
      <c r="V160" s="9"/>
      <c r="W160" s="9"/>
      <c r="X160" s="9"/>
      <c r="Y160" s="9"/>
      <c r="Z160" s="9"/>
      <c r="AA160" s="9"/>
    </row>
    <row r="161" spans="1:27">
      <c r="A161" s="9"/>
      <c r="B161" s="186" t="str">
        <f>CONCATENATE(TEXT($E$5,"mmmm")," Results")</f>
        <v>December Results</v>
      </c>
      <c r="C161" s="9"/>
      <c r="D161" s="78"/>
      <c r="E161" s="78"/>
      <c r="F161" s="78"/>
      <c r="G161" s="11"/>
      <c r="H161" s="11"/>
      <c r="I161" s="79"/>
      <c r="J161" s="11"/>
      <c r="K161" s="11"/>
      <c r="L161" s="27"/>
      <c r="M161" s="9"/>
      <c r="N161" s="9"/>
      <c r="O161" s="80"/>
      <c r="P161" s="80"/>
      <c r="Q161" s="80"/>
      <c r="R161" s="11"/>
      <c r="S161" s="11"/>
      <c r="T161" s="11"/>
      <c r="U161" s="11"/>
      <c r="V161" s="9"/>
      <c r="W161" s="9"/>
      <c r="X161" s="9"/>
      <c r="Y161" s="9"/>
      <c r="Z161" s="9"/>
      <c r="AA161" s="9"/>
    </row>
    <row r="162" spans="1:27">
      <c r="A162" s="9"/>
      <c r="B162" s="81" t="s">
        <v>12</v>
      </c>
      <c r="C162" s="70"/>
      <c r="D162" s="70"/>
      <c r="E162" s="70"/>
      <c r="F162" s="70"/>
      <c r="G162" s="70"/>
      <c r="H162" s="70"/>
      <c r="I162" s="70"/>
      <c r="J162" s="70"/>
      <c r="K162" s="11"/>
      <c r="L162" s="27"/>
      <c r="M162" s="9"/>
      <c r="N162" s="9"/>
      <c r="O162" s="80"/>
      <c r="P162" s="80"/>
      <c r="Q162" s="80"/>
      <c r="R162" s="11"/>
      <c r="S162" s="11"/>
      <c r="T162" s="11"/>
      <c r="U162" s="11"/>
      <c r="V162" s="9"/>
      <c r="W162" s="9"/>
      <c r="X162" s="9"/>
      <c r="Y162" s="9"/>
      <c r="Z162" s="9"/>
      <c r="AA162" s="9"/>
    </row>
    <row r="163" spans="1:27">
      <c r="A163" s="9"/>
      <c r="B163" s="81" t="s">
        <v>12</v>
      </c>
      <c r="C163" s="70"/>
      <c r="D163" s="70"/>
      <c r="E163" s="70"/>
      <c r="F163" s="70"/>
      <c r="G163" s="70"/>
      <c r="H163" s="70"/>
      <c r="I163" s="70"/>
      <c r="J163" s="70"/>
      <c r="K163" s="11"/>
      <c r="L163" s="9"/>
      <c r="M163" s="9"/>
      <c r="N163" s="9"/>
      <c r="O163" s="9"/>
      <c r="P163" s="9"/>
      <c r="Q163" s="9"/>
      <c r="R163" s="11"/>
      <c r="S163" s="11"/>
      <c r="T163" s="11"/>
      <c r="U163" s="11"/>
      <c r="V163" s="9"/>
      <c r="W163" s="9"/>
      <c r="X163" s="9"/>
      <c r="Y163" s="9"/>
      <c r="Z163" s="9"/>
      <c r="AA163" s="9"/>
    </row>
    <row r="164" spans="1:2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11"/>
      <c r="L164" s="74"/>
      <c r="M164" s="9"/>
      <c r="N164" s="9"/>
      <c r="O164" s="9"/>
      <c r="P164" s="9"/>
      <c r="Q164" s="9"/>
      <c r="R164" s="11"/>
      <c r="S164" s="11"/>
      <c r="T164" s="11"/>
      <c r="U164" s="11"/>
      <c r="V164" s="9"/>
      <c r="W164" s="9"/>
      <c r="X164" s="9"/>
      <c r="Y164" s="9"/>
      <c r="Z164" s="9"/>
      <c r="AA164" s="9"/>
    </row>
    <row r="165" spans="1:27">
      <c r="A165" s="9"/>
      <c r="B165" s="186" t="str">
        <f>CONCATENATE($E$6," Forecast")</f>
        <v>2025 Forecast</v>
      </c>
      <c r="C165" s="11"/>
      <c r="D165" s="78"/>
      <c r="E165" s="78"/>
      <c r="F165" s="11"/>
      <c r="G165" s="11"/>
      <c r="H165" s="11"/>
      <c r="I165" s="11"/>
      <c r="J165" s="11"/>
      <c r="K165" s="11"/>
      <c r="L165" s="27"/>
      <c r="M165" s="9"/>
      <c r="N165" s="9"/>
      <c r="O165" s="80"/>
      <c r="P165" s="80"/>
      <c r="Q165" s="80"/>
      <c r="R165" s="11"/>
      <c r="S165" s="11"/>
      <c r="T165" s="11"/>
      <c r="U165" s="11"/>
      <c r="V165" s="9"/>
      <c r="W165" s="9"/>
      <c r="X165" s="9"/>
      <c r="Y165" s="9"/>
      <c r="Z165" s="9"/>
      <c r="AA165" s="9"/>
    </row>
    <row r="166" spans="1:27">
      <c r="A166" s="9"/>
      <c r="B166" s="81" t="s">
        <v>12</v>
      </c>
      <c r="C166" s="70"/>
      <c r="D166" s="70"/>
      <c r="E166" s="70"/>
      <c r="F166" s="70"/>
      <c r="G166" s="70"/>
      <c r="H166" s="70"/>
      <c r="I166" s="70"/>
      <c r="J166" s="70"/>
      <c r="K166" s="11"/>
      <c r="L166" s="27"/>
      <c r="M166" s="9"/>
      <c r="N166" s="9"/>
      <c r="O166" s="80"/>
      <c r="P166" s="80"/>
      <c r="Q166" s="80"/>
      <c r="R166" s="11"/>
      <c r="S166" s="11"/>
      <c r="T166" s="11"/>
      <c r="U166" s="11"/>
      <c r="V166" s="9"/>
      <c r="W166" s="9"/>
      <c r="X166" s="9"/>
      <c r="Y166" s="9"/>
      <c r="Z166" s="9"/>
      <c r="AA166" s="9"/>
    </row>
    <row r="167" spans="1:27">
      <c r="A167" s="9"/>
      <c r="B167" s="81" t="s">
        <v>12</v>
      </c>
      <c r="C167" s="70"/>
      <c r="D167" s="70"/>
      <c r="E167" s="70"/>
      <c r="F167" s="70"/>
      <c r="G167" s="70"/>
      <c r="H167" s="70"/>
      <c r="I167" s="70"/>
      <c r="J167" s="70"/>
      <c r="K167" s="11"/>
      <c r="L167" s="9"/>
      <c r="M167" s="9"/>
      <c r="N167" s="9"/>
      <c r="O167" s="9"/>
      <c r="P167" s="9"/>
      <c r="Q167" s="9"/>
      <c r="R167" s="11"/>
      <c r="S167" s="11"/>
      <c r="T167" s="11"/>
      <c r="U167" s="11"/>
      <c r="V167" s="9"/>
      <c r="W167" s="9"/>
      <c r="X167" s="9"/>
      <c r="Y167" s="9"/>
      <c r="Z167" s="9"/>
      <c r="AA167" s="9"/>
    </row>
    <row r="168" spans="1:27">
      <c r="A168" s="9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74"/>
      <c r="M168" s="9"/>
      <c r="N168" s="9"/>
      <c r="O168" s="82"/>
      <c r="P168" s="82"/>
      <c r="Q168" s="82"/>
      <c r="R168" s="11"/>
      <c r="S168" s="11"/>
      <c r="T168" s="11"/>
      <c r="U168" s="11"/>
      <c r="V168" s="9"/>
      <c r="W168" s="9"/>
      <c r="X168" s="9"/>
      <c r="Y168" s="9"/>
      <c r="Z168" s="9"/>
      <c r="AA168" s="9"/>
    </row>
    <row r="169" spans="1:27">
      <c r="A169" s="9"/>
      <c r="B169" s="186" t="str">
        <f>CONCATENATE($E$6+1," Forecast")</f>
        <v>2026 Forecast</v>
      </c>
      <c r="C169" s="11"/>
      <c r="D169" s="79"/>
      <c r="E169" s="79"/>
      <c r="F169" s="11"/>
      <c r="G169" s="11"/>
      <c r="H169" s="11"/>
      <c r="I169" s="11"/>
      <c r="J169" s="11"/>
      <c r="K169" s="11"/>
      <c r="L169" s="27"/>
      <c r="M169" s="9"/>
      <c r="N169" s="9"/>
      <c r="O169" s="80"/>
      <c r="P169" s="80"/>
      <c r="Q169" s="80"/>
      <c r="R169" s="11"/>
      <c r="S169" s="11"/>
      <c r="T169" s="11"/>
      <c r="U169" s="11"/>
      <c r="V169" s="9"/>
      <c r="W169" s="9"/>
      <c r="X169" s="9"/>
      <c r="Y169" s="9"/>
      <c r="Z169" s="9"/>
      <c r="AA169" s="9"/>
    </row>
    <row r="170" spans="1:27">
      <c r="A170" s="9"/>
      <c r="B170" s="81" t="s">
        <v>12</v>
      </c>
      <c r="C170" s="70"/>
      <c r="D170" s="70"/>
      <c r="E170" s="70"/>
      <c r="F170" s="70"/>
      <c r="G170" s="70"/>
      <c r="H170" s="70"/>
      <c r="I170" s="70"/>
      <c r="J170" s="70"/>
      <c r="K170" s="11"/>
      <c r="L170" s="27"/>
      <c r="M170" s="9"/>
      <c r="N170" s="9"/>
      <c r="O170" s="80"/>
      <c r="P170" s="80"/>
      <c r="Q170" s="80"/>
      <c r="R170" s="11"/>
      <c r="S170" s="11"/>
      <c r="T170" s="11"/>
      <c r="U170" s="11"/>
      <c r="V170" s="9"/>
      <c r="W170" s="9"/>
      <c r="X170" s="9"/>
      <c r="Y170" s="9"/>
      <c r="Z170" s="9"/>
      <c r="AA170" s="9"/>
    </row>
    <row r="171" spans="1:27">
      <c r="A171" s="9"/>
      <c r="B171" s="81" t="s">
        <v>12</v>
      </c>
      <c r="C171" s="70"/>
      <c r="D171" s="70"/>
      <c r="E171" s="70"/>
      <c r="F171" s="70"/>
      <c r="G171" s="70"/>
      <c r="H171" s="70"/>
      <c r="I171" s="70"/>
      <c r="J171" s="70"/>
      <c r="K171" s="11"/>
      <c r="L171" s="27"/>
      <c r="M171" s="9"/>
      <c r="N171" s="9"/>
      <c r="O171" s="80"/>
      <c r="P171" s="80"/>
      <c r="Q171" s="80"/>
      <c r="R171" s="11"/>
      <c r="S171" s="11"/>
      <c r="T171" s="11"/>
      <c r="U171" s="11"/>
      <c r="V171" s="9"/>
      <c r="W171" s="9"/>
      <c r="X171" s="9"/>
      <c r="Y171" s="9"/>
      <c r="Z171" s="9"/>
      <c r="AA171" s="9"/>
    </row>
    <row r="172" spans="1:27">
      <c r="A172" s="9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9"/>
      <c r="M172" s="9"/>
      <c r="N172" s="9"/>
      <c r="O172" s="9"/>
      <c r="P172" s="9"/>
      <c r="Q172" s="9"/>
      <c r="R172" s="11"/>
      <c r="S172" s="11"/>
      <c r="T172" s="11"/>
      <c r="U172" s="11"/>
      <c r="V172" s="9"/>
      <c r="W172" s="9"/>
      <c r="X172" s="9"/>
      <c r="Y172" s="9"/>
      <c r="Z172" s="9"/>
      <c r="AA172" s="9"/>
    </row>
    <row r="173" spans="1:27">
      <c r="A173" s="9"/>
      <c r="B173" s="84"/>
      <c r="C173" s="84"/>
      <c r="D173" s="84"/>
      <c r="E173" s="11"/>
      <c r="F173" s="11"/>
      <c r="G173" s="11"/>
      <c r="H173" s="11"/>
      <c r="I173" s="11"/>
      <c r="J173" s="11"/>
      <c r="K173" s="11"/>
      <c r="L173" s="9"/>
      <c r="M173" s="9"/>
      <c r="N173" s="9"/>
      <c r="O173" s="9"/>
      <c r="P173" s="9"/>
      <c r="Q173" s="9"/>
      <c r="R173" s="11"/>
      <c r="S173" s="11"/>
      <c r="T173" s="11"/>
      <c r="U173" s="11"/>
      <c r="V173" s="9"/>
      <c r="W173" s="9"/>
      <c r="X173" s="9"/>
      <c r="Y173" s="9"/>
      <c r="Z173" s="9"/>
      <c r="AA173" s="9"/>
    </row>
    <row r="174" spans="1:27">
      <c r="A174" s="9"/>
      <c r="B174" s="11"/>
      <c r="C174" s="71" t="s">
        <v>13</v>
      </c>
      <c r="D174" s="71"/>
      <c r="E174" s="9"/>
      <c r="F174" s="9"/>
      <c r="G174" s="72" t="str">
        <f>$E$9</f>
        <v>YEARS</v>
      </c>
      <c r="H174" s="85"/>
      <c r="I174" s="86" t="s">
        <v>14</v>
      </c>
      <c r="J174" s="11"/>
      <c r="K174" s="11"/>
      <c r="L174" s="74"/>
      <c r="M174" s="74"/>
      <c r="N174" s="74"/>
      <c r="O174" s="9"/>
      <c r="P174" s="9"/>
      <c r="Q174" s="9"/>
      <c r="R174" s="9"/>
      <c r="S174" s="9"/>
      <c r="T174" s="9"/>
      <c r="U174" s="9"/>
      <c r="V174" s="11"/>
      <c r="W174" s="11"/>
      <c r="X174" s="11"/>
      <c r="Y174" s="11"/>
      <c r="Z174" s="11"/>
      <c r="AA174" s="11"/>
    </row>
    <row r="175" spans="1:27">
      <c r="A175" s="9"/>
      <c r="B175" s="9"/>
      <c r="C175" s="9"/>
      <c r="D175" s="9"/>
      <c r="E175" s="9"/>
      <c r="F175" s="9"/>
      <c r="G175" s="11"/>
      <c r="H175" s="11"/>
      <c r="I175" s="11"/>
      <c r="J175" s="11"/>
      <c r="K175" s="11"/>
      <c r="L175" s="27"/>
      <c r="M175" s="27"/>
      <c r="N175" s="27"/>
      <c r="O175" s="80"/>
      <c r="P175" s="80"/>
      <c r="Q175" s="80"/>
      <c r="R175" s="9"/>
      <c r="S175" s="9"/>
      <c r="T175" s="9"/>
      <c r="U175" s="9"/>
      <c r="V175" s="11"/>
      <c r="W175" s="11"/>
      <c r="X175" s="11"/>
      <c r="Y175" s="11"/>
      <c r="Z175" s="11"/>
      <c r="AA175" s="11"/>
    </row>
    <row r="176" spans="1:27">
      <c r="A176" s="9"/>
      <c r="B176" s="9"/>
      <c r="C176" s="9"/>
      <c r="D176" s="9"/>
      <c r="E176" s="9"/>
      <c r="F176" s="9"/>
      <c r="G176" s="11"/>
      <c r="H176" s="11"/>
      <c r="I176" s="11"/>
      <c r="J176" s="11"/>
      <c r="K176" s="11"/>
      <c r="L176" s="27"/>
      <c r="M176" s="27"/>
      <c r="N176" s="27"/>
      <c r="O176" s="80"/>
      <c r="P176" s="80"/>
      <c r="Q176" s="80"/>
      <c r="R176" s="9"/>
      <c r="S176" s="9"/>
      <c r="T176" s="9"/>
      <c r="U176" s="9"/>
      <c r="V176" s="11"/>
      <c r="W176" s="11"/>
      <c r="X176" s="11"/>
      <c r="Y176" s="11"/>
      <c r="Z176" s="11"/>
      <c r="AA176" s="11"/>
    </row>
    <row r="177" spans="1:27">
      <c r="A177" s="9"/>
      <c r="B177" s="9"/>
      <c r="C177" s="9"/>
      <c r="D177" s="9"/>
      <c r="E177" s="9"/>
      <c r="F177" s="9"/>
      <c r="G177" s="11"/>
      <c r="H177" s="11"/>
      <c r="I177" s="11"/>
      <c r="J177" s="11"/>
      <c r="K177" s="11"/>
      <c r="L177" s="27"/>
      <c r="M177" s="87"/>
      <c r="N177" s="87"/>
      <c r="O177" s="80"/>
      <c r="P177" s="80"/>
      <c r="Q177" s="80"/>
      <c r="R177" s="9"/>
      <c r="S177" s="9"/>
      <c r="T177" s="9"/>
      <c r="U177" s="9"/>
      <c r="V177" s="11"/>
      <c r="W177" s="11"/>
      <c r="X177" s="11"/>
      <c r="Y177" s="11"/>
      <c r="Z177" s="11"/>
      <c r="AA177" s="11"/>
    </row>
    <row r="178" spans="1:27">
      <c r="A178" s="9"/>
      <c r="B178" s="9"/>
      <c r="C178" s="9"/>
      <c r="D178" s="9"/>
      <c r="E178" s="9"/>
      <c r="F178" s="9"/>
      <c r="G178" s="11"/>
      <c r="H178" s="11"/>
      <c r="I178" s="11"/>
      <c r="J178" s="11"/>
      <c r="K178" s="11"/>
      <c r="L178" s="27"/>
      <c r="M178" s="87"/>
      <c r="N178" s="87"/>
      <c r="O178" s="80"/>
      <c r="P178" s="80"/>
      <c r="Q178" s="80"/>
      <c r="R178" s="9"/>
      <c r="S178" s="9"/>
      <c r="T178" s="9"/>
      <c r="U178" s="9"/>
      <c r="V178" s="11"/>
      <c r="W178" s="11"/>
      <c r="X178" s="11"/>
      <c r="Y178" s="11"/>
      <c r="Z178" s="11"/>
      <c r="AA178" s="11"/>
    </row>
    <row r="179" spans="1:27">
      <c r="A179" s="9"/>
      <c r="B179" s="9"/>
      <c r="C179" s="9"/>
      <c r="D179" s="9"/>
      <c r="E179" s="9"/>
      <c r="F179" s="9"/>
      <c r="G179" s="11"/>
      <c r="H179" s="11"/>
      <c r="I179" s="11"/>
      <c r="J179" s="11"/>
      <c r="K179" s="11"/>
      <c r="L179" s="27"/>
      <c r="M179" s="87"/>
      <c r="N179" s="87"/>
      <c r="O179" s="80"/>
      <c r="P179" s="80"/>
      <c r="Q179" s="80"/>
      <c r="R179" s="9"/>
      <c r="S179" s="9"/>
      <c r="T179" s="9"/>
      <c r="U179" s="9"/>
      <c r="V179" s="11"/>
      <c r="W179" s="11"/>
      <c r="X179" s="11"/>
      <c r="Y179" s="11"/>
      <c r="Z179" s="11"/>
      <c r="AA179" s="11"/>
    </row>
    <row r="180" spans="1:27">
      <c r="A180" s="9"/>
      <c r="B180" s="9"/>
      <c r="C180" s="9"/>
      <c r="D180" s="9"/>
      <c r="E180" s="9"/>
      <c r="F180" s="9"/>
      <c r="G180" s="11"/>
      <c r="H180" s="11"/>
      <c r="I180" s="11"/>
      <c r="J180" s="11"/>
      <c r="K180" s="11"/>
      <c r="L180" s="27"/>
      <c r="M180" s="87"/>
      <c r="N180" s="87"/>
      <c r="O180" s="80"/>
      <c r="P180" s="80"/>
      <c r="Q180" s="80"/>
      <c r="R180" s="9"/>
      <c r="S180" s="9"/>
      <c r="T180" s="9"/>
      <c r="U180" s="9"/>
      <c r="V180" s="11"/>
      <c r="W180" s="11"/>
      <c r="X180" s="11"/>
      <c r="Y180" s="11"/>
      <c r="Z180" s="11"/>
      <c r="AA180" s="11"/>
    </row>
    <row r="181" spans="1:27">
      <c r="A181" s="9"/>
      <c r="B181" s="9"/>
      <c r="C181" s="9"/>
      <c r="D181" s="9"/>
      <c r="E181" s="9"/>
      <c r="F181" s="9"/>
      <c r="G181" s="11"/>
      <c r="H181" s="11"/>
      <c r="I181" s="11"/>
      <c r="J181" s="11"/>
      <c r="K181" s="11"/>
      <c r="L181" s="27"/>
      <c r="M181" s="87"/>
      <c r="N181" s="87"/>
      <c r="O181" s="80"/>
      <c r="P181" s="80"/>
      <c r="Q181" s="80"/>
      <c r="R181" s="9"/>
      <c r="S181" s="9"/>
      <c r="T181" s="9"/>
      <c r="U181" s="9"/>
      <c r="V181" s="11"/>
      <c r="W181" s="11"/>
      <c r="X181" s="11"/>
      <c r="Y181" s="11"/>
      <c r="Z181" s="11"/>
      <c r="AA181" s="11"/>
    </row>
    <row r="182" spans="1:27">
      <c r="A182" s="9"/>
      <c r="B182" s="9"/>
      <c r="C182" s="9"/>
      <c r="D182" s="9"/>
      <c r="E182" s="9"/>
      <c r="F182" s="9"/>
      <c r="G182" s="11"/>
      <c r="H182" s="11"/>
      <c r="I182" s="11"/>
      <c r="J182" s="11"/>
      <c r="K182" s="11"/>
      <c r="L182" s="27"/>
      <c r="M182" s="87"/>
      <c r="N182" s="87"/>
      <c r="O182" s="80"/>
      <c r="P182" s="80"/>
      <c r="Q182" s="80"/>
      <c r="R182" s="9"/>
      <c r="S182" s="9"/>
      <c r="T182" s="9"/>
      <c r="U182" s="9"/>
      <c r="V182" s="11"/>
      <c r="W182" s="11"/>
      <c r="X182" s="11"/>
      <c r="Y182" s="11"/>
      <c r="Z182" s="11"/>
      <c r="AA182" s="11"/>
    </row>
    <row r="183" spans="1:27">
      <c r="A183" s="9"/>
      <c r="B183" s="9"/>
      <c r="C183" s="9"/>
      <c r="D183" s="9"/>
      <c r="E183" s="9"/>
      <c r="F183" s="9"/>
      <c r="G183" s="11"/>
      <c r="H183" s="11"/>
      <c r="I183" s="11"/>
      <c r="J183" s="11"/>
      <c r="K183" s="11"/>
      <c r="L183" s="27"/>
      <c r="M183" s="87"/>
      <c r="N183" s="87"/>
      <c r="O183" s="80"/>
      <c r="P183" s="80"/>
      <c r="Q183" s="80"/>
      <c r="R183" s="9"/>
      <c r="S183" s="9"/>
      <c r="T183" s="9"/>
      <c r="U183" s="9"/>
      <c r="V183" s="11"/>
      <c r="W183" s="11"/>
      <c r="X183" s="11"/>
      <c r="Y183" s="11"/>
      <c r="Z183" s="11"/>
      <c r="AA183" s="11"/>
    </row>
    <row r="184" spans="1:27">
      <c r="A184" s="9"/>
      <c r="B184" s="9"/>
      <c r="C184" s="9"/>
      <c r="D184" s="9"/>
      <c r="E184" s="9"/>
      <c r="F184" s="9"/>
      <c r="G184" s="11"/>
      <c r="H184" s="11"/>
      <c r="I184" s="11"/>
      <c r="J184" s="11"/>
      <c r="K184" s="11"/>
      <c r="L184" s="27"/>
      <c r="M184" s="87"/>
      <c r="N184" s="87"/>
      <c r="O184" s="80"/>
      <c r="P184" s="80"/>
      <c r="Q184" s="80"/>
      <c r="R184" s="9"/>
      <c r="S184" s="9"/>
      <c r="T184" s="9"/>
      <c r="U184" s="9"/>
      <c r="V184" s="11"/>
      <c r="W184" s="11"/>
      <c r="X184" s="11"/>
      <c r="Y184" s="11"/>
      <c r="Z184" s="11"/>
      <c r="AA184" s="11"/>
    </row>
    <row r="185" spans="1:27" ht="18">
      <c r="A185" s="12"/>
      <c r="B185" s="7"/>
      <c r="C185" s="7"/>
      <c r="D185" s="7"/>
      <c r="E185" s="88"/>
      <c r="F185" s="88"/>
      <c r="G185" s="88"/>
      <c r="H185" s="88"/>
      <c r="I185" s="89"/>
      <c r="J185" s="68"/>
      <c r="K185" s="68"/>
      <c r="L185" s="8"/>
      <c r="M185" s="7"/>
      <c r="N185" s="7"/>
      <c r="O185" s="9"/>
      <c r="P185" s="9"/>
      <c r="Q185" s="9"/>
      <c r="R185" s="9"/>
      <c r="S185" s="9"/>
      <c r="T185" s="9"/>
      <c r="U185" s="9"/>
      <c r="V185" s="7"/>
      <c r="W185" s="9"/>
      <c r="X185" s="9"/>
      <c r="Y185" s="9"/>
      <c r="Z185" s="9"/>
      <c r="AA185" s="9"/>
    </row>
    <row r="186" spans="1:27" ht="15.75" thickBot="1">
      <c r="A186" s="25"/>
      <c r="B186" s="9"/>
      <c r="C186" s="91"/>
      <c r="D186" s="91"/>
      <c r="E186" s="9"/>
      <c r="F186" s="9"/>
      <c r="G186" s="9"/>
      <c r="H186" s="9"/>
      <c r="I186" s="187">
        <f>I$6</f>
        <v>45658</v>
      </c>
      <c r="J186" s="188">
        <f t="shared" ref="J186:Y186" si="71">J$6</f>
        <v>45689</v>
      </c>
      <c r="K186" s="188">
        <f t="shared" si="71"/>
        <v>45717</v>
      </c>
      <c r="L186" s="189">
        <f t="shared" si="71"/>
        <v>45748</v>
      </c>
      <c r="M186" s="188">
        <f t="shared" si="71"/>
        <v>45778</v>
      </c>
      <c r="N186" s="188">
        <f t="shared" si="71"/>
        <v>45809</v>
      </c>
      <c r="O186" s="189">
        <f t="shared" si="71"/>
        <v>45839</v>
      </c>
      <c r="P186" s="188">
        <f t="shared" si="71"/>
        <v>45870</v>
      </c>
      <c r="Q186" s="188">
        <f t="shared" si="71"/>
        <v>45901</v>
      </c>
      <c r="R186" s="189">
        <f t="shared" si="71"/>
        <v>45931</v>
      </c>
      <c r="S186" s="188">
        <f t="shared" si="71"/>
        <v>45962</v>
      </c>
      <c r="T186" s="188">
        <f t="shared" si="71"/>
        <v>45992</v>
      </c>
      <c r="U186" s="33"/>
      <c r="V186" s="34">
        <f t="shared" si="71"/>
        <v>1</v>
      </c>
      <c r="W186" s="20">
        <f t="shared" si="71"/>
        <v>2</v>
      </c>
      <c r="X186" s="20">
        <f t="shared" si="71"/>
        <v>3</v>
      </c>
      <c r="Y186" s="20">
        <f t="shared" si="71"/>
        <v>4</v>
      </c>
      <c r="Z186" s="97"/>
      <c r="AA186" s="193" t="s">
        <v>3</v>
      </c>
    </row>
    <row r="187" spans="1:27">
      <c r="A187" s="3"/>
      <c r="B187" s="7"/>
      <c r="C187" s="99"/>
      <c r="D187" s="99"/>
      <c r="E187" s="7"/>
      <c r="F187" s="68"/>
      <c r="G187" s="68"/>
      <c r="H187" s="68"/>
      <c r="I187" s="100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39"/>
      <c r="U187" s="10"/>
      <c r="V187" s="102"/>
      <c r="W187" s="103"/>
      <c r="X187" s="103"/>
      <c r="Y187" s="103"/>
      <c r="Z187" s="10"/>
      <c r="AA187" s="102"/>
    </row>
    <row r="188" spans="1:27">
      <c r="A188" s="11"/>
      <c r="B188" s="11"/>
      <c r="C188" s="104" t="s">
        <v>15</v>
      </c>
      <c r="D188" s="104"/>
      <c r="E188" s="11"/>
      <c r="F188" s="11"/>
      <c r="G188" s="11"/>
      <c r="H188" s="11"/>
      <c r="I188" s="194">
        <f>I192/I215-1</f>
        <v>0</v>
      </c>
      <c r="J188" s="194">
        <f t="shared" ref="J188:T188" si="72">J192/J215-1</f>
        <v>0</v>
      </c>
      <c r="K188" s="194">
        <f t="shared" si="72"/>
        <v>0</v>
      </c>
      <c r="L188" s="194">
        <f t="shared" si="72"/>
        <v>0</v>
      </c>
      <c r="M188" s="194">
        <f t="shared" si="72"/>
        <v>0</v>
      </c>
      <c r="N188" s="194">
        <f t="shared" si="72"/>
        <v>0</v>
      </c>
      <c r="O188" s="194">
        <f t="shared" si="72"/>
        <v>0</v>
      </c>
      <c r="P188" s="194">
        <f t="shared" si="72"/>
        <v>0</v>
      </c>
      <c r="Q188" s="194">
        <f t="shared" si="72"/>
        <v>0</v>
      </c>
      <c r="R188" s="194">
        <f>R192/R215-1</f>
        <v>0</v>
      </c>
      <c r="S188" s="194">
        <f t="shared" si="72"/>
        <v>0</v>
      </c>
      <c r="T188" s="194">
        <f t="shared" si="72"/>
        <v>0</v>
      </c>
      <c r="U188" s="10"/>
      <c r="V188" s="194">
        <f>V192/V215-1</f>
        <v>0</v>
      </c>
      <c r="W188" s="194">
        <f>W192/W215-1</f>
        <v>0</v>
      </c>
      <c r="X188" s="194">
        <f>X192/X215-1</f>
        <v>0</v>
      </c>
      <c r="Y188" s="194">
        <f>Y192/Y215-1</f>
        <v>0</v>
      </c>
      <c r="Z188" s="10"/>
      <c r="AA188" s="194">
        <f>AA192/AA215-1</f>
        <v>0</v>
      </c>
    </row>
    <row r="189" spans="1:27">
      <c r="A189" s="11"/>
      <c r="B189" s="11"/>
      <c r="C189" s="104" t="s">
        <v>16</v>
      </c>
      <c r="D189" s="104"/>
      <c r="E189" s="11"/>
      <c r="F189" s="11"/>
      <c r="G189" s="11"/>
      <c r="H189" s="11"/>
      <c r="I189" s="195">
        <f>I192/I212-1</f>
        <v>0.13970588235294112</v>
      </c>
      <c r="J189" s="195">
        <f t="shared" ref="J189:T189" si="73">J192/J212-1</f>
        <v>0.16238050293895023</v>
      </c>
      <c r="K189" s="195">
        <f t="shared" si="73"/>
        <v>0.1999197186329229</v>
      </c>
      <c r="L189" s="195">
        <f t="shared" si="73"/>
        <v>0.19888603505909086</v>
      </c>
      <c r="M189" s="195">
        <f t="shared" si="73"/>
        <v>0.13911233616470708</v>
      </c>
      <c r="N189" s="195">
        <f t="shared" si="73"/>
        <v>8.8988511171207207E-2</v>
      </c>
      <c r="O189" s="195">
        <f t="shared" si="73"/>
        <v>0.1119613563537234</v>
      </c>
      <c r="P189" s="195">
        <f t="shared" si="73"/>
        <v>7.282676875824623E-2</v>
      </c>
      <c r="Q189" s="195">
        <f t="shared" si="73"/>
        <v>0.13795589766898875</v>
      </c>
      <c r="R189" s="195">
        <f t="shared" si="73"/>
        <v>0.10065597130432646</v>
      </c>
      <c r="S189" s="195">
        <f t="shared" si="73"/>
        <v>0.10249081257656179</v>
      </c>
      <c r="T189" s="195">
        <f t="shared" si="73"/>
        <v>0.19904998347463154</v>
      </c>
      <c r="U189" s="10"/>
      <c r="V189" s="195">
        <f>V192/V212-1</f>
        <v>0.16583044697838289</v>
      </c>
      <c r="W189" s="195">
        <f>W192/W212-1</f>
        <v>0.1365270679355548</v>
      </c>
      <c r="X189" s="195">
        <f>X192/X212-1</f>
        <v>0.10626753236491027</v>
      </c>
      <c r="Y189" s="195">
        <f>Y192/Y212-1</f>
        <v>0.13107626211877821</v>
      </c>
      <c r="Z189" s="10"/>
      <c r="AA189" s="195">
        <f>AA192/AA212-1</f>
        <v>0.13208277858717676</v>
      </c>
    </row>
    <row r="190" spans="1:27">
      <c r="A190" s="2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>
      <c r="A191" s="25"/>
      <c r="B191" s="11"/>
      <c r="C191" s="78" t="str">
        <f>CONCATENATE($E$6," Forecast")</f>
        <v>2025 Forecast</v>
      </c>
      <c r="D191" s="78"/>
      <c r="E191" s="11"/>
      <c r="F191" s="11"/>
      <c r="G191" s="11"/>
      <c r="H191" s="11"/>
      <c r="I191" s="89">
        <f>I$7</f>
        <v>1</v>
      </c>
      <c r="J191" s="89">
        <f t="shared" ref="J191:T191" si="74">J$7</f>
        <v>1</v>
      </c>
      <c r="K191" s="89">
        <f t="shared" si="74"/>
        <v>1</v>
      </c>
      <c r="L191" s="89">
        <f t="shared" si="74"/>
        <v>1</v>
      </c>
      <c r="M191" s="89">
        <f t="shared" si="74"/>
        <v>1</v>
      </c>
      <c r="N191" s="89">
        <f t="shared" si="74"/>
        <v>1</v>
      </c>
      <c r="O191" s="89">
        <f t="shared" si="74"/>
        <v>1</v>
      </c>
      <c r="P191" s="89">
        <f t="shared" si="74"/>
        <v>1</v>
      </c>
      <c r="Q191" s="89">
        <f t="shared" si="74"/>
        <v>1</v>
      </c>
      <c r="R191" s="89">
        <f t="shared" si="74"/>
        <v>1</v>
      </c>
      <c r="S191" s="89">
        <f t="shared" si="74"/>
        <v>1</v>
      </c>
      <c r="T191" s="89">
        <f t="shared" si="74"/>
        <v>1</v>
      </c>
      <c r="U191" s="41"/>
      <c r="V191" s="89">
        <f t="shared" ref="V191:Y191" si="75">V$7</f>
        <v>1</v>
      </c>
      <c r="W191" s="89">
        <f t="shared" si="75"/>
        <v>1</v>
      </c>
      <c r="X191" s="89">
        <f t="shared" si="75"/>
        <v>1</v>
      </c>
      <c r="Y191" s="89">
        <f t="shared" si="75"/>
        <v>1</v>
      </c>
      <c r="Z191" s="41"/>
      <c r="AA191" s="89">
        <f>AA$7</f>
        <v>1</v>
      </c>
    </row>
    <row r="192" spans="1:27">
      <c r="A192" s="25"/>
      <c r="B192" s="11"/>
      <c r="C192" s="104" t="s">
        <v>17</v>
      </c>
      <c r="D192" s="104"/>
      <c r="E192" s="11"/>
      <c r="F192" s="11"/>
      <c r="G192" s="11"/>
      <c r="H192" s="11"/>
      <c r="I192" s="73">
        <f>I120*I48/1000</f>
        <v>558</v>
      </c>
      <c r="J192" s="73">
        <f t="shared" ref="J192:T192" si="76">J120*J48/1000</f>
        <v>497.55</v>
      </c>
      <c r="K192" s="73">
        <f t="shared" si="76"/>
        <v>502.2</v>
      </c>
      <c r="L192" s="73">
        <f t="shared" si="76"/>
        <v>576</v>
      </c>
      <c r="M192" s="73">
        <f t="shared" si="76"/>
        <v>648</v>
      </c>
      <c r="N192" s="73">
        <f t="shared" si="76"/>
        <v>720</v>
      </c>
      <c r="O192" s="73">
        <f t="shared" si="76"/>
        <v>744</v>
      </c>
      <c r="P192" s="73">
        <f t="shared" si="76"/>
        <v>744</v>
      </c>
      <c r="Q192" s="73">
        <f t="shared" si="76"/>
        <v>696</v>
      </c>
      <c r="R192" s="73">
        <f t="shared" si="76"/>
        <v>672</v>
      </c>
      <c r="S192" s="73">
        <f t="shared" si="76"/>
        <v>648</v>
      </c>
      <c r="T192" s="73">
        <f t="shared" si="76"/>
        <v>624</v>
      </c>
      <c r="U192" s="9"/>
      <c r="V192" s="115">
        <f>SUMIFS($I192:$T192,$I$5:$T$5,V$6)</f>
        <v>1557.75</v>
      </c>
      <c r="W192" s="115">
        <f t="shared" ref="W192:Y193" si="77">SUMIFS($I192:$T192,$I$5:$T$5,W$6)</f>
        <v>1944</v>
      </c>
      <c r="X192" s="115">
        <f t="shared" si="77"/>
        <v>2184</v>
      </c>
      <c r="Y192" s="115">
        <f t="shared" si="77"/>
        <v>1944</v>
      </c>
      <c r="Z192" s="9"/>
      <c r="AA192" s="115">
        <f>SUM(V192:Y192)</f>
        <v>7629.75</v>
      </c>
    </row>
    <row r="193" spans="1:28">
      <c r="A193" s="25"/>
      <c r="B193" s="11"/>
      <c r="C193" s="104" t="s">
        <v>19</v>
      </c>
      <c r="D193" s="104"/>
      <c r="E193" s="11"/>
      <c r="F193" s="11"/>
      <c r="G193" s="11"/>
      <c r="H193" s="11"/>
      <c r="I193" s="73">
        <f t="shared" ref="I193:T193" si="78">I121*I49/1000</f>
        <v>558</v>
      </c>
      <c r="J193" s="73">
        <f t="shared" si="78"/>
        <v>497.55</v>
      </c>
      <c r="K193" s="73">
        <f t="shared" si="78"/>
        <v>502.2</v>
      </c>
      <c r="L193" s="73">
        <f t="shared" si="78"/>
        <v>576</v>
      </c>
      <c r="M193" s="73">
        <f t="shared" si="78"/>
        <v>648</v>
      </c>
      <c r="N193" s="73">
        <f t="shared" si="78"/>
        <v>720</v>
      </c>
      <c r="O193" s="73">
        <f t="shared" si="78"/>
        <v>744</v>
      </c>
      <c r="P193" s="73">
        <f t="shared" si="78"/>
        <v>744</v>
      </c>
      <c r="Q193" s="73">
        <f t="shared" si="78"/>
        <v>696</v>
      </c>
      <c r="R193" s="73">
        <f t="shared" si="78"/>
        <v>672</v>
      </c>
      <c r="S193" s="73">
        <f t="shared" si="78"/>
        <v>648</v>
      </c>
      <c r="T193" s="73">
        <f t="shared" si="78"/>
        <v>624</v>
      </c>
      <c r="U193" s="9"/>
      <c r="V193" s="115">
        <f t="shared" ref="V193" si="79">SUMIFS($I193:$T193,$I$5:$T$5,V$6)</f>
        <v>1557.75</v>
      </c>
      <c r="W193" s="115">
        <f t="shared" si="77"/>
        <v>1944</v>
      </c>
      <c r="X193" s="115">
        <f t="shared" si="77"/>
        <v>2184</v>
      </c>
      <c r="Y193" s="115">
        <f t="shared" si="77"/>
        <v>1944</v>
      </c>
      <c r="Z193" s="9"/>
      <c r="AA193" s="115">
        <f>SUM(V193:Y193)</f>
        <v>7629.75</v>
      </c>
    </row>
    <row r="194" spans="1:28">
      <c r="A194" s="25"/>
      <c r="B194" s="11"/>
      <c r="C194" s="104" t="s">
        <v>20</v>
      </c>
      <c r="D194" s="104"/>
      <c r="E194" s="11"/>
      <c r="F194" s="11"/>
      <c r="G194" s="11"/>
      <c r="H194" s="11"/>
      <c r="I194" s="196">
        <f>I192-I193</f>
        <v>0</v>
      </c>
      <c r="J194" s="196">
        <f t="shared" ref="J194:T194" si="80">J192-J193</f>
        <v>0</v>
      </c>
      <c r="K194" s="196">
        <f t="shared" si="80"/>
        <v>0</v>
      </c>
      <c r="L194" s="196">
        <f>L192-L193</f>
        <v>0</v>
      </c>
      <c r="M194" s="196">
        <f t="shared" si="80"/>
        <v>0</v>
      </c>
      <c r="N194" s="196">
        <f t="shared" si="80"/>
        <v>0</v>
      </c>
      <c r="O194" s="196">
        <f t="shared" si="80"/>
        <v>0</v>
      </c>
      <c r="P194" s="196">
        <f t="shared" si="80"/>
        <v>0</v>
      </c>
      <c r="Q194" s="196">
        <f t="shared" si="80"/>
        <v>0</v>
      </c>
      <c r="R194" s="196">
        <f t="shared" si="80"/>
        <v>0</v>
      </c>
      <c r="S194" s="196">
        <f t="shared" si="80"/>
        <v>0</v>
      </c>
      <c r="T194" s="196">
        <f t="shared" si="80"/>
        <v>0</v>
      </c>
      <c r="U194" s="9"/>
      <c r="V194" s="112">
        <f t="shared" ref="V194:Y194" si="81">V192-V193</f>
        <v>0</v>
      </c>
      <c r="W194" s="112">
        <f t="shared" si="81"/>
        <v>0</v>
      </c>
      <c r="X194" s="112">
        <f t="shared" si="81"/>
        <v>0</v>
      </c>
      <c r="Y194" s="112">
        <f t="shared" si="81"/>
        <v>0</v>
      </c>
      <c r="Z194" s="9"/>
      <c r="AA194" s="112">
        <f t="shared" ref="AA194" si="82">AA192-AA193</f>
        <v>0</v>
      </c>
    </row>
    <row r="195" spans="1:28" ht="15.75" thickBot="1">
      <c r="A195" s="25"/>
      <c r="B195" s="11"/>
      <c r="C195" s="104" t="s">
        <v>21</v>
      </c>
      <c r="D195" s="104"/>
      <c r="E195" s="11"/>
      <c r="F195" s="11"/>
      <c r="G195" s="11"/>
      <c r="H195" s="11"/>
      <c r="I195" s="114">
        <f>I194/I193</f>
        <v>0</v>
      </c>
      <c r="J195" s="114">
        <f t="shared" ref="J195:T195" si="83">J194/J193</f>
        <v>0</v>
      </c>
      <c r="K195" s="114">
        <f t="shared" si="83"/>
        <v>0</v>
      </c>
      <c r="L195" s="114">
        <f>L194/L193</f>
        <v>0</v>
      </c>
      <c r="M195" s="114">
        <f t="shared" si="83"/>
        <v>0</v>
      </c>
      <c r="N195" s="114">
        <f t="shared" si="83"/>
        <v>0</v>
      </c>
      <c r="O195" s="114">
        <f t="shared" si="83"/>
        <v>0</v>
      </c>
      <c r="P195" s="114">
        <f t="shared" si="83"/>
        <v>0</v>
      </c>
      <c r="Q195" s="114">
        <f t="shared" si="83"/>
        <v>0</v>
      </c>
      <c r="R195" s="114">
        <f t="shared" si="83"/>
        <v>0</v>
      </c>
      <c r="S195" s="114">
        <f t="shared" si="83"/>
        <v>0</v>
      </c>
      <c r="T195" s="114">
        <f t="shared" si="83"/>
        <v>0</v>
      </c>
      <c r="U195" s="9"/>
      <c r="V195" s="114">
        <f t="shared" ref="V195:Y195" si="84">V194/V193</f>
        <v>0</v>
      </c>
      <c r="W195" s="114">
        <f t="shared" si="84"/>
        <v>0</v>
      </c>
      <c r="X195" s="114">
        <f t="shared" si="84"/>
        <v>0</v>
      </c>
      <c r="Y195" s="114">
        <f t="shared" si="84"/>
        <v>0</v>
      </c>
      <c r="Z195" s="9"/>
      <c r="AA195" s="114">
        <f t="shared" ref="AA195" si="85">AA194/AA193</f>
        <v>0</v>
      </c>
    </row>
    <row r="196" spans="1:28">
      <c r="A196" s="25"/>
      <c r="B196" s="11"/>
      <c r="C196" s="104"/>
      <c r="D196" s="104"/>
      <c r="E196" s="11"/>
      <c r="F196" s="11"/>
      <c r="G196" s="11"/>
      <c r="H196" s="11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9"/>
      <c r="V196" s="115"/>
      <c r="W196" s="115"/>
      <c r="X196" s="115"/>
      <c r="Y196" s="115"/>
      <c r="Z196" s="9"/>
      <c r="AA196" s="115"/>
    </row>
    <row r="197" spans="1:28">
      <c r="A197" s="25"/>
      <c r="B197" s="11"/>
      <c r="C197" s="78" t="str">
        <f>CONCATENATE($E$6+1," Forecast")</f>
        <v>2026 Forecast</v>
      </c>
      <c r="D197" s="78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9"/>
      <c r="V197" s="115"/>
      <c r="W197" s="115"/>
      <c r="X197" s="115"/>
      <c r="Y197" s="115"/>
      <c r="Z197" s="9"/>
      <c r="AA197" s="115"/>
    </row>
    <row r="198" spans="1:28">
      <c r="A198" s="25"/>
      <c r="B198" s="11"/>
      <c r="C198" s="104" t="s">
        <v>17</v>
      </c>
      <c r="D198" s="104"/>
      <c r="E198" s="11"/>
      <c r="F198" s="11"/>
      <c r="G198" s="11"/>
      <c r="H198" s="11"/>
      <c r="I198" s="73">
        <f>I126*I54/1000</f>
        <v>648</v>
      </c>
      <c r="J198" s="73">
        <f t="shared" ref="J198:T198" si="86">J126*J54/1000</f>
        <v>600</v>
      </c>
      <c r="K198" s="73">
        <f t="shared" si="86"/>
        <v>648</v>
      </c>
      <c r="L198" s="73">
        <f t="shared" si="86"/>
        <v>693</v>
      </c>
      <c r="M198" s="73">
        <f t="shared" si="86"/>
        <v>754.875</v>
      </c>
      <c r="N198" s="73">
        <f t="shared" si="86"/>
        <v>816.75</v>
      </c>
      <c r="O198" s="73">
        <f t="shared" si="86"/>
        <v>841.5</v>
      </c>
      <c r="P198" s="73">
        <f t="shared" si="86"/>
        <v>831.6</v>
      </c>
      <c r="Q198" s="73">
        <f t="shared" si="86"/>
        <v>787.05</v>
      </c>
      <c r="R198" s="73">
        <f t="shared" si="86"/>
        <v>767.25</v>
      </c>
      <c r="S198" s="73">
        <f t="shared" si="86"/>
        <v>754.875</v>
      </c>
      <c r="T198" s="73">
        <f t="shared" si="86"/>
        <v>712.8</v>
      </c>
      <c r="U198" s="9"/>
      <c r="V198" s="115">
        <f>SUMIFS($I198:$T198,$I$5:$T$5,V$6)</f>
        <v>1896</v>
      </c>
      <c r="W198" s="115">
        <f t="shared" ref="W198:Y199" si="87">SUMIFS($I198:$T198,$I$5:$T$5,W$6)</f>
        <v>2264.625</v>
      </c>
      <c r="X198" s="115">
        <f t="shared" si="87"/>
        <v>2460.1499999999996</v>
      </c>
      <c r="Y198" s="115">
        <f t="shared" si="87"/>
        <v>2234.9250000000002</v>
      </c>
      <c r="Z198" s="9"/>
      <c r="AA198" s="115">
        <f>SUM(V198:Y198)</f>
        <v>8855.7000000000007</v>
      </c>
    </row>
    <row r="199" spans="1:28">
      <c r="A199" s="25"/>
      <c r="B199" s="11"/>
      <c r="C199" s="104" t="s">
        <v>19</v>
      </c>
      <c r="D199" s="104"/>
      <c r="E199" s="11"/>
      <c r="F199" s="11"/>
      <c r="G199" s="11"/>
      <c r="H199" s="11"/>
      <c r="I199" s="237">
        <f t="shared" ref="I199:T199" si="88">I127*I55/1000</f>
        <v>648</v>
      </c>
      <c r="J199" s="237">
        <f t="shared" si="88"/>
        <v>600</v>
      </c>
      <c r="K199" s="237">
        <f t="shared" si="88"/>
        <v>648</v>
      </c>
      <c r="L199" s="237">
        <f t="shared" si="88"/>
        <v>693</v>
      </c>
      <c r="M199" s="237">
        <f t="shared" si="88"/>
        <v>754.875</v>
      </c>
      <c r="N199" s="237">
        <f t="shared" si="88"/>
        <v>816.75</v>
      </c>
      <c r="O199" s="237">
        <f t="shared" si="88"/>
        <v>841.5</v>
      </c>
      <c r="P199" s="237">
        <f t="shared" si="88"/>
        <v>831.6</v>
      </c>
      <c r="Q199" s="237">
        <f t="shared" si="88"/>
        <v>787.05</v>
      </c>
      <c r="R199" s="237">
        <f t="shared" si="88"/>
        <v>767.25</v>
      </c>
      <c r="S199" s="237">
        <f t="shared" si="88"/>
        <v>754.875</v>
      </c>
      <c r="T199" s="237">
        <f t="shared" si="88"/>
        <v>712.8</v>
      </c>
      <c r="U199" s="9"/>
      <c r="V199" s="115">
        <f t="shared" ref="V199" si="89">SUMIFS($I199:$T199,$I$5:$T$5,V$6)</f>
        <v>1896</v>
      </c>
      <c r="W199" s="115">
        <f t="shared" si="87"/>
        <v>2264.625</v>
      </c>
      <c r="X199" s="115">
        <f t="shared" si="87"/>
        <v>2460.1499999999996</v>
      </c>
      <c r="Y199" s="115">
        <f t="shared" si="87"/>
        <v>2234.9250000000002</v>
      </c>
      <c r="Z199" s="9"/>
      <c r="AA199" s="115">
        <f>SUM(V199:Y199)</f>
        <v>8855.7000000000007</v>
      </c>
    </row>
    <row r="200" spans="1:28">
      <c r="A200" s="25"/>
      <c r="B200" s="11"/>
      <c r="C200" s="104" t="s">
        <v>20</v>
      </c>
      <c r="D200" s="104"/>
      <c r="E200" s="11"/>
      <c r="F200" s="11"/>
      <c r="G200" s="11"/>
      <c r="H200" s="11"/>
      <c r="I200" s="80">
        <f>I198-I199</f>
        <v>0</v>
      </c>
      <c r="J200" s="80">
        <f t="shared" ref="J200:T200" si="90">J198-J199</f>
        <v>0</v>
      </c>
      <c r="K200" s="80">
        <f t="shared" si="90"/>
        <v>0</v>
      </c>
      <c r="L200" s="80">
        <f t="shared" si="90"/>
        <v>0</v>
      </c>
      <c r="M200" s="80">
        <f t="shared" si="90"/>
        <v>0</v>
      </c>
      <c r="N200" s="80">
        <f t="shared" si="90"/>
        <v>0</v>
      </c>
      <c r="O200" s="80">
        <f t="shared" si="90"/>
        <v>0</v>
      </c>
      <c r="P200" s="80">
        <f t="shared" si="90"/>
        <v>0</v>
      </c>
      <c r="Q200" s="80">
        <f t="shared" si="90"/>
        <v>0</v>
      </c>
      <c r="R200" s="80">
        <f t="shared" si="90"/>
        <v>0</v>
      </c>
      <c r="S200" s="80">
        <f t="shared" si="90"/>
        <v>0</v>
      </c>
      <c r="T200" s="80">
        <f t="shared" si="90"/>
        <v>0</v>
      </c>
      <c r="U200" s="9"/>
      <c r="V200" s="112">
        <f t="shared" ref="V200:Y200" si="91">V198-V199</f>
        <v>0</v>
      </c>
      <c r="W200" s="112">
        <f t="shared" si="91"/>
        <v>0</v>
      </c>
      <c r="X200" s="112">
        <f t="shared" si="91"/>
        <v>0</v>
      </c>
      <c r="Y200" s="112">
        <f t="shared" si="91"/>
        <v>0</v>
      </c>
      <c r="Z200" s="9"/>
      <c r="AA200" s="112">
        <f t="shared" ref="AA200" si="92">AA198-AA199</f>
        <v>0</v>
      </c>
    </row>
    <row r="201" spans="1:28" ht="15.75" thickBot="1">
      <c r="A201" s="25"/>
      <c r="B201" s="11"/>
      <c r="C201" s="104" t="s">
        <v>21</v>
      </c>
      <c r="D201" s="104"/>
      <c r="E201" s="11"/>
      <c r="F201" s="11"/>
      <c r="G201" s="11"/>
      <c r="H201" s="11"/>
      <c r="I201" s="114">
        <f>I200/I199</f>
        <v>0</v>
      </c>
      <c r="J201" s="114">
        <f t="shared" ref="J201:T201" si="93">J200/J199</f>
        <v>0</v>
      </c>
      <c r="K201" s="114">
        <f t="shared" si="93"/>
        <v>0</v>
      </c>
      <c r="L201" s="114">
        <f t="shared" si="93"/>
        <v>0</v>
      </c>
      <c r="M201" s="114">
        <f t="shared" si="93"/>
        <v>0</v>
      </c>
      <c r="N201" s="114">
        <f t="shared" si="93"/>
        <v>0</v>
      </c>
      <c r="O201" s="114">
        <f t="shared" si="93"/>
        <v>0</v>
      </c>
      <c r="P201" s="114">
        <f t="shared" si="93"/>
        <v>0</v>
      </c>
      <c r="Q201" s="114">
        <f t="shared" si="93"/>
        <v>0</v>
      </c>
      <c r="R201" s="114">
        <f t="shared" si="93"/>
        <v>0</v>
      </c>
      <c r="S201" s="114">
        <f t="shared" si="93"/>
        <v>0</v>
      </c>
      <c r="T201" s="114">
        <f t="shared" si="93"/>
        <v>0</v>
      </c>
      <c r="U201" s="9"/>
      <c r="V201" s="114">
        <f t="shared" ref="V201:Y201" si="94">V200/V199</f>
        <v>0</v>
      </c>
      <c r="W201" s="114">
        <f t="shared" si="94"/>
        <v>0</v>
      </c>
      <c r="X201" s="114">
        <f t="shared" si="94"/>
        <v>0</v>
      </c>
      <c r="Y201" s="114">
        <f t="shared" si="94"/>
        <v>0</v>
      </c>
      <c r="Z201" s="9"/>
      <c r="AA201" s="114">
        <f t="shared" ref="AA201" si="95">AA200/AA199</f>
        <v>0</v>
      </c>
    </row>
    <row r="205" spans="1:28" ht="18">
      <c r="A205" s="1"/>
      <c r="B205" s="11"/>
      <c r="C205" s="117" t="s">
        <v>30</v>
      </c>
      <c r="D205" s="118"/>
      <c r="E205" s="5"/>
      <c r="F205" s="5"/>
      <c r="G205" s="5"/>
      <c r="H205" s="5"/>
      <c r="I205" s="119"/>
      <c r="J205" s="120"/>
      <c r="K205" s="120"/>
      <c r="L205" s="5"/>
      <c r="M205" s="5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11"/>
    </row>
    <row r="206" spans="1:28">
      <c r="A206" s="1"/>
      <c r="B206" s="121"/>
      <c r="C206" s="121"/>
      <c r="D206" s="12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5.75" thickBot="1">
      <c r="A207" s="25"/>
      <c r="B207" s="9"/>
      <c r="C207" s="90" t="s">
        <v>29</v>
      </c>
      <c r="D207" s="122"/>
      <c r="E207" s="76"/>
      <c r="F207" s="76"/>
      <c r="G207" s="76"/>
      <c r="H207" s="9"/>
      <c r="I207" s="187">
        <f>I$6</f>
        <v>45658</v>
      </c>
      <c r="J207" s="188">
        <f t="shared" ref="J207:Y207" si="96">J$6</f>
        <v>45689</v>
      </c>
      <c r="K207" s="188">
        <f t="shared" si="96"/>
        <v>45717</v>
      </c>
      <c r="L207" s="189">
        <f t="shared" si="96"/>
        <v>45748</v>
      </c>
      <c r="M207" s="188">
        <f t="shared" si="96"/>
        <v>45778</v>
      </c>
      <c r="N207" s="188">
        <f t="shared" si="96"/>
        <v>45809</v>
      </c>
      <c r="O207" s="189">
        <f t="shared" si="96"/>
        <v>45839</v>
      </c>
      <c r="P207" s="188">
        <f t="shared" si="96"/>
        <v>45870</v>
      </c>
      <c r="Q207" s="188">
        <f t="shared" si="96"/>
        <v>45901</v>
      </c>
      <c r="R207" s="189">
        <f t="shared" si="96"/>
        <v>45931</v>
      </c>
      <c r="S207" s="188">
        <f t="shared" si="96"/>
        <v>45962</v>
      </c>
      <c r="T207" s="188">
        <f t="shared" si="96"/>
        <v>45992</v>
      </c>
      <c r="U207" s="33"/>
      <c r="V207" s="34">
        <f t="shared" si="96"/>
        <v>1</v>
      </c>
      <c r="W207" s="20">
        <f t="shared" si="96"/>
        <v>2</v>
      </c>
      <c r="X207" s="20">
        <f t="shared" si="96"/>
        <v>3</v>
      </c>
      <c r="Y207" s="20">
        <f t="shared" si="96"/>
        <v>4</v>
      </c>
      <c r="Z207" s="97"/>
      <c r="AA207" s="193" t="s">
        <v>3</v>
      </c>
      <c r="AB207" s="2"/>
    </row>
    <row r="208" spans="1:28">
      <c r="A208" s="3"/>
      <c r="B208" s="7"/>
      <c r="C208" s="99"/>
      <c r="D208" s="99"/>
      <c r="E208" s="7"/>
      <c r="F208" s="68"/>
      <c r="G208" s="68"/>
      <c r="H208" s="68"/>
      <c r="I208" s="100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39"/>
      <c r="U208" s="10"/>
      <c r="V208" s="102"/>
      <c r="W208" s="103"/>
      <c r="X208" s="103"/>
      <c r="Y208" s="103"/>
      <c r="Z208" s="10"/>
      <c r="AA208" s="102"/>
      <c r="AB208" s="10"/>
    </row>
    <row r="209" spans="1:28">
      <c r="A209" s="1"/>
      <c r="B209" s="11"/>
      <c r="C209" s="123" t="s">
        <v>23</v>
      </c>
      <c r="D209" s="86"/>
      <c r="E209" s="197" t="s">
        <v>5</v>
      </c>
      <c r="F209" s="198" t="s">
        <v>24</v>
      </c>
      <c r="G209" s="199" t="str">
        <f>$E$9</f>
        <v>YEARS</v>
      </c>
      <c r="H209" s="127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1"/>
      <c r="V209" s="11"/>
      <c r="W209" s="11"/>
      <c r="X209" s="11"/>
      <c r="Y209" s="11"/>
      <c r="Z209" s="11"/>
      <c r="AA209" s="11"/>
      <c r="AB209" s="11"/>
    </row>
    <row r="210" spans="1:28">
      <c r="A210" s="1"/>
      <c r="B210" s="11"/>
      <c r="C210" s="129">
        <f>C211-1</f>
        <v>2022</v>
      </c>
      <c r="D210" s="55"/>
      <c r="E210" s="200">
        <v>1</v>
      </c>
      <c r="F210" s="201">
        <v>0</v>
      </c>
      <c r="G210" s="202">
        <f>INDEX(E210:F210, MATCH($G$209, $E$209:$F$209, 0))</f>
        <v>1</v>
      </c>
      <c r="H210" s="133"/>
      <c r="I210" s="176">
        <f t="shared" ref="I210:T212" si="97">I138*I66/1000</f>
        <v>292.59500000000003</v>
      </c>
      <c r="J210" s="177">
        <f t="shared" si="97"/>
        <v>251.512</v>
      </c>
      <c r="K210" s="177">
        <f t="shared" si="97"/>
        <v>215.642</v>
      </c>
      <c r="L210" s="177">
        <f t="shared" si="97"/>
        <v>275.55200000000002</v>
      </c>
      <c r="M210" s="177">
        <f t="shared" si="97"/>
        <v>337.36399999999998</v>
      </c>
      <c r="N210" s="177">
        <f t="shared" si="97"/>
        <v>447.05099999999999</v>
      </c>
      <c r="O210" s="177">
        <f t="shared" si="97"/>
        <v>467.392</v>
      </c>
      <c r="P210" s="177">
        <f t="shared" si="97"/>
        <v>458.30399999999997</v>
      </c>
      <c r="Q210" s="177">
        <f t="shared" si="97"/>
        <v>385.392</v>
      </c>
      <c r="R210" s="177">
        <f t="shared" si="97"/>
        <v>389.78399999999999</v>
      </c>
      <c r="S210" s="177">
        <f t="shared" si="97"/>
        <v>383.63799999999998</v>
      </c>
      <c r="T210" s="178">
        <f t="shared" si="97"/>
        <v>314.35599999999999</v>
      </c>
      <c r="U210" s="11"/>
      <c r="V210" s="203">
        <f>SUMIFS($I210:$T210,$I$5:$T$5,V$6)</f>
        <v>759.74900000000002</v>
      </c>
      <c r="W210" s="204">
        <f t="shared" ref="W210:Y214" si="98">SUMIFS($I210:$T210,$I$5:$T$5,W$6)</f>
        <v>1059.9669999999999</v>
      </c>
      <c r="X210" s="204">
        <f t="shared" si="98"/>
        <v>1311.088</v>
      </c>
      <c r="Y210" s="205">
        <f t="shared" si="98"/>
        <v>1087.778</v>
      </c>
      <c r="Z210" s="11"/>
      <c r="AA210" s="206">
        <f>SUM(V210:Y210)</f>
        <v>4218.5820000000003</v>
      </c>
      <c r="AB210" s="11"/>
    </row>
    <row r="211" spans="1:28">
      <c r="A211" s="1"/>
      <c r="B211" s="11"/>
      <c r="C211" s="129">
        <f>C212-1</f>
        <v>2023</v>
      </c>
      <c r="D211" s="55"/>
      <c r="E211" s="207">
        <v>1</v>
      </c>
      <c r="F211" s="208">
        <v>0</v>
      </c>
      <c r="G211" s="209">
        <f t="shared" ref="G211:G215" si="99">INDEX(E211:F211, MATCH($G$209, $E$209:$F$209, 0))</f>
        <v>1</v>
      </c>
      <c r="H211" s="55"/>
      <c r="I211" s="162">
        <f t="shared" si="97"/>
        <v>399.28</v>
      </c>
      <c r="J211" s="163">
        <f t="shared" si="97"/>
        <v>322.50599999999997</v>
      </c>
      <c r="K211" s="163">
        <f t="shared" si="97"/>
        <v>311.14400000000001</v>
      </c>
      <c r="L211" s="163">
        <f t="shared" si="97"/>
        <v>359.55</v>
      </c>
      <c r="M211" s="163">
        <f t="shared" si="97"/>
        <v>446.65600000000001</v>
      </c>
      <c r="N211" s="163">
        <f t="shared" si="97"/>
        <v>530.88</v>
      </c>
      <c r="O211" s="163">
        <f t="shared" si="97"/>
        <v>554.73</v>
      </c>
      <c r="P211" s="163">
        <f t="shared" si="97"/>
        <v>570.15</v>
      </c>
      <c r="Q211" s="163">
        <f t="shared" si="97"/>
        <v>489.51600000000002</v>
      </c>
      <c r="R211" s="163">
        <f t="shared" si="97"/>
        <v>484.2</v>
      </c>
      <c r="S211" s="163">
        <f t="shared" si="97"/>
        <v>470.7</v>
      </c>
      <c r="T211" s="164">
        <f t="shared" si="97"/>
        <v>412.22399999999999</v>
      </c>
      <c r="U211" s="11"/>
      <c r="V211" s="210">
        <f t="shared" ref="V211:V214" si="100">SUMIFS($I211:$T211,$I$5:$T$5,V$6)</f>
        <v>1032.9299999999998</v>
      </c>
      <c r="W211" s="211">
        <f t="shared" si="98"/>
        <v>1337.086</v>
      </c>
      <c r="X211" s="211">
        <f t="shared" si="98"/>
        <v>1614.3960000000002</v>
      </c>
      <c r="Y211" s="212">
        <f t="shared" si="98"/>
        <v>1367.124</v>
      </c>
      <c r="Z211" s="11"/>
      <c r="AA211" s="213">
        <f t="shared" ref="AA211:AA214" si="101">SUM(V211:Y211)</f>
        <v>5351.5360000000001</v>
      </c>
      <c r="AB211" s="11"/>
    </row>
    <row r="212" spans="1:28">
      <c r="A212" s="1"/>
      <c r="B212" s="11"/>
      <c r="C212" s="129">
        <f>C213-1</f>
        <v>2024</v>
      </c>
      <c r="D212" s="55"/>
      <c r="E212" s="207">
        <v>1</v>
      </c>
      <c r="F212" s="208">
        <v>0</v>
      </c>
      <c r="G212" s="209">
        <f t="shared" si="99"/>
        <v>1</v>
      </c>
      <c r="H212" s="55"/>
      <c r="I212" s="162">
        <f t="shared" si="97"/>
        <v>489.6</v>
      </c>
      <c r="J212" s="163">
        <f t="shared" si="97"/>
        <v>428.04399999999998</v>
      </c>
      <c r="K212" s="163">
        <f t="shared" si="97"/>
        <v>418.52800000000002</v>
      </c>
      <c r="L212" s="163">
        <f t="shared" si="97"/>
        <v>480.44600000000003</v>
      </c>
      <c r="M212" s="163">
        <f t="shared" si="97"/>
        <v>568.86400000000003</v>
      </c>
      <c r="N212" s="163">
        <f t="shared" si="97"/>
        <v>661.16399999999999</v>
      </c>
      <c r="O212" s="163">
        <f t="shared" si="97"/>
        <v>669.08799999999997</v>
      </c>
      <c r="P212" s="163">
        <f t="shared" si="97"/>
        <v>693.495</v>
      </c>
      <c r="Q212" s="163">
        <f t="shared" si="97"/>
        <v>611.62300000000005</v>
      </c>
      <c r="R212" s="163">
        <f t="shared" si="97"/>
        <v>610.54499999999996</v>
      </c>
      <c r="S212" s="163">
        <f t="shared" si="97"/>
        <v>587.76</v>
      </c>
      <c r="T212" s="164">
        <f t="shared" si="97"/>
        <v>520.41200000000003</v>
      </c>
      <c r="U212" s="11"/>
      <c r="V212" s="214">
        <f t="shared" si="100"/>
        <v>1336.172</v>
      </c>
      <c r="W212" s="215">
        <f t="shared" si="98"/>
        <v>1710.4739999999999</v>
      </c>
      <c r="X212" s="215">
        <f t="shared" si="98"/>
        <v>1974.2060000000001</v>
      </c>
      <c r="Y212" s="216">
        <f t="shared" si="98"/>
        <v>1718.7169999999999</v>
      </c>
      <c r="Z212" s="11"/>
      <c r="AA212" s="213">
        <f t="shared" si="101"/>
        <v>6739.5689999999995</v>
      </c>
      <c r="AB212" s="11"/>
    </row>
    <row r="213" spans="1:28">
      <c r="A213" s="1"/>
      <c r="B213" s="11"/>
      <c r="C213" s="153">
        <f>$E$6</f>
        <v>2025</v>
      </c>
      <c r="D213" s="55"/>
      <c r="E213" s="217">
        <v>1</v>
      </c>
      <c r="F213" s="218">
        <v>1</v>
      </c>
      <c r="G213" s="219">
        <f t="shared" si="99"/>
        <v>1</v>
      </c>
      <c r="H213" s="55"/>
      <c r="I213" s="220">
        <f>I192</f>
        <v>558</v>
      </c>
      <c r="J213" s="221">
        <f t="shared" ref="J213:T213" si="102">J192</f>
        <v>497.55</v>
      </c>
      <c r="K213" s="221">
        <f t="shared" si="102"/>
        <v>502.2</v>
      </c>
      <c r="L213" s="221">
        <f t="shared" si="102"/>
        <v>576</v>
      </c>
      <c r="M213" s="221">
        <f t="shared" si="102"/>
        <v>648</v>
      </c>
      <c r="N213" s="221">
        <f t="shared" si="102"/>
        <v>720</v>
      </c>
      <c r="O213" s="221">
        <f t="shared" si="102"/>
        <v>744</v>
      </c>
      <c r="P213" s="221">
        <f t="shared" si="102"/>
        <v>744</v>
      </c>
      <c r="Q213" s="221">
        <f t="shared" si="102"/>
        <v>696</v>
      </c>
      <c r="R213" s="221">
        <f t="shared" si="102"/>
        <v>672</v>
      </c>
      <c r="S213" s="221">
        <f t="shared" si="102"/>
        <v>648</v>
      </c>
      <c r="T213" s="222">
        <f t="shared" si="102"/>
        <v>624</v>
      </c>
      <c r="U213" s="11"/>
      <c r="V213" s="210">
        <f t="shared" si="100"/>
        <v>1557.75</v>
      </c>
      <c r="W213" s="211">
        <f t="shared" si="98"/>
        <v>1944</v>
      </c>
      <c r="X213" s="211">
        <f t="shared" si="98"/>
        <v>2184</v>
      </c>
      <c r="Y213" s="212">
        <f t="shared" si="98"/>
        <v>1944</v>
      </c>
      <c r="Z213" s="11"/>
      <c r="AA213" s="223">
        <f t="shared" si="101"/>
        <v>7629.75</v>
      </c>
      <c r="AB213" s="11"/>
    </row>
    <row r="214" spans="1:28">
      <c r="A214" s="1"/>
      <c r="B214" s="11"/>
      <c r="C214" s="161">
        <f>C213+1</f>
        <v>2026</v>
      </c>
      <c r="D214" s="55"/>
      <c r="E214" s="207">
        <v>1</v>
      </c>
      <c r="F214" s="208">
        <v>0</v>
      </c>
      <c r="G214" s="209">
        <f t="shared" si="99"/>
        <v>1</v>
      </c>
      <c r="H214" s="55"/>
      <c r="I214" s="224">
        <f>I198</f>
        <v>648</v>
      </c>
      <c r="J214" s="225">
        <f t="shared" ref="J214:T214" si="103">J198</f>
        <v>600</v>
      </c>
      <c r="K214" s="225">
        <f t="shared" si="103"/>
        <v>648</v>
      </c>
      <c r="L214" s="225">
        <f t="shared" si="103"/>
        <v>693</v>
      </c>
      <c r="M214" s="225">
        <f t="shared" si="103"/>
        <v>754.875</v>
      </c>
      <c r="N214" s="225">
        <f t="shared" si="103"/>
        <v>816.75</v>
      </c>
      <c r="O214" s="225">
        <f t="shared" si="103"/>
        <v>841.5</v>
      </c>
      <c r="P214" s="225">
        <f t="shared" si="103"/>
        <v>831.6</v>
      </c>
      <c r="Q214" s="225">
        <f t="shared" si="103"/>
        <v>787.05</v>
      </c>
      <c r="R214" s="225">
        <f t="shared" si="103"/>
        <v>767.25</v>
      </c>
      <c r="S214" s="225">
        <f t="shared" si="103"/>
        <v>754.875</v>
      </c>
      <c r="T214" s="226">
        <f t="shared" si="103"/>
        <v>712.8</v>
      </c>
      <c r="U214" s="11"/>
      <c r="V214" s="203">
        <f t="shared" si="100"/>
        <v>1896</v>
      </c>
      <c r="W214" s="204">
        <f t="shared" si="98"/>
        <v>2264.625</v>
      </c>
      <c r="X214" s="204">
        <f t="shared" si="98"/>
        <v>2460.1499999999996</v>
      </c>
      <c r="Y214" s="205">
        <f t="shared" si="98"/>
        <v>2234.9250000000002</v>
      </c>
      <c r="Z214" s="11"/>
      <c r="AA214" s="213">
        <f t="shared" si="101"/>
        <v>8855.7000000000007</v>
      </c>
      <c r="AB214" s="11"/>
    </row>
    <row r="215" spans="1:28">
      <c r="A215" s="165"/>
      <c r="B215" s="37"/>
      <c r="C215" s="129" t="s">
        <v>25</v>
      </c>
      <c r="D215" s="55"/>
      <c r="E215" s="227">
        <v>0</v>
      </c>
      <c r="F215" s="228">
        <v>1</v>
      </c>
      <c r="G215" s="229">
        <f t="shared" si="99"/>
        <v>0</v>
      </c>
      <c r="H215" s="55"/>
      <c r="I215" s="172">
        <f t="shared" ref="I215:T215" si="104">I143*I71/1000</f>
        <v>558</v>
      </c>
      <c r="J215" s="173">
        <f t="shared" si="104"/>
        <v>497.55</v>
      </c>
      <c r="K215" s="173">
        <f t="shared" si="104"/>
        <v>502.2</v>
      </c>
      <c r="L215" s="173">
        <f t="shared" si="104"/>
        <v>576</v>
      </c>
      <c r="M215" s="173">
        <f t="shared" si="104"/>
        <v>648</v>
      </c>
      <c r="N215" s="173">
        <f t="shared" si="104"/>
        <v>720</v>
      </c>
      <c r="O215" s="173">
        <f t="shared" si="104"/>
        <v>744</v>
      </c>
      <c r="P215" s="173">
        <f t="shared" si="104"/>
        <v>744</v>
      </c>
      <c r="Q215" s="173">
        <f t="shared" si="104"/>
        <v>696</v>
      </c>
      <c r="R215" s="173">
        <f t="shared" si="104"/>
        <v>672</v>
      </c>
      <c r="S215" s="173">
        <f t="shared" si="104"/>
        <v>648</v>
      </c>
      <c r="T215" s="173">
        <f t="shared" si="104"/>
        <v>624</v>
      </c>
      <c r="U215" s="171"/>
      <c r="V215" s="230">
        <f>SUMIFS($I215:$T215,$I$5:$T$5,V$6)</f>
        <v>1557.75</v>
      </c>
      <c r="W215" s="231">
        <f>SUMIFS($I215:$T215,$I$5:$T$5,W$6)</f>
        <v>1944</v>
      </c>
      <c r="X215" s="231">
        <f>SUMIFS($I215:$T215,$I$5:$T$5,X$6)</f>
        <v>2184</v>
      </c>
      <c r="Y215" s="231">
        <f>SUMIFS($I215:$T215,$I$5:$T$5,Y$6)</f>
        <v>1944</v>
      </c>
      <c r="Z215" s="171"/>
      <c r="AA215" s="230">
        <f>SUM(V215:Y215)</f>
        <v>7629.75</v>
      </c>
      <c r="AB215" s="171"/>
    </row>
    <row r="216" spans="1:28">
      <c r="A216" s="1"/>
      <c r="B216" s="11"/>
      <c r="C216" s="174"/>
      <c r="D216" s="174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>
      <c r="A217" s="1"/>
      <c r="B217" s="11"/>
      <c r="C217" s="174"/>
      <c r="D217" s="174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>
      <c r="A218" s="1"/>
      <c r="B218" s="11"/>
      <c r="C218" s="123" t="s">
        <v>23</v>
      </c>
      <c r="D218" s="86"/>
      <c r="E218" s="127"/>
      <c r="F218" s="127"/>
      <c r="G218" s="199" t="str">
        <f>$E$9</f>
        <v>YEARS</v>
      </c>
      <c r="H218" s="127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>
      <c r="A219" s="1"/>
      <c r="B219" s="11"/>
      <c r="C219" s="129">
        <f>C210</f>
        <v>2022</v>
      </c>
      <c r="D219" s="55"/>
      <c r="E219" s="55"/>
      <c r="F219" s="55"/>
      <c r="G219" s="202">
        <f>G210</f>
        <v>1</v>
      </c>
      <c r="H219" s="55"/>
      <c r="I219" s="232">
        <f>IF($G219=0,NA(),I210)</f>
        <v>292.59500000000003</v>
      </c>
      <c r="J219" s="233">
        <f t="shared" ref="J219:T219" si="105">IF($G219=0,NA(),J210)</f>
        <v>251.512</v>
      </c>
      <c r="K219" s="233">
        <f t="shared" si="105"/>
        <v>215.642</v>
      </c>
      <c r="L219" s="233">
        <f t="shared" si="105"/>
        <v>275.55200000000002</v>
      </c>
      <c r="M219" s="233">
        <f t="shared" si="105"/>
        <v>337.36399999999998</v>
      </c>
      <c r="N219" s="233">
        <f t="shared" si="105"/>
        <v>447.05099999999999</v>
      </c>
      <c r="O219" s="233">
        <f t="shared" si="105"/>
        <v>467.392</v>
      </c>
      <c r="P219" s="233">
        <f t="shared" si="105"/>
        <v>458.30399999999997</v>
      </c>
      <c r="Q219" s="233">
        <f t="shared" si="105"/>
        <v>385.392</v>
      </c>
      <c r="R219" s="233">
        <f t="shared" si="105"/>
        <v>389.78399999999999</v>
      </c>
      <c r="S219" s="233">
        <f t="shared" si="105"/>
        <v>383.63799999999998</v>
      </c>
      <c r="T219" s="234">
        <f t="shared" si="105"/>
        <v>314.35599999999999</v>
      </c>
      <c r="U219" s="11"/>
      <c r="V219" s="232">
        <f>IF($G219=0,NA(),V210)</f>
        <v>759.74900000000002</v>
      </c>
      <c r="W219" s="233">
        <f t="shared" ref="V219:Y221" si="106">IF($G219=0,NA(),W210)</f>
        <v>1059.9669999999999</v>
      </c>
      <c r="X219" s="233">
        <f t="shared" si="106"/>
        <v>1311.088</v>
      </c>
      <c r="Y219" s="234">
        <f t="shared" si="106"/>
        <v>1087.778</v>
      </c>
      <c r="Z219" s="11"/>
      <c r="AA219" s="232">
        <f>SUM(V219:Y219)</f>
        <v>4218.5820000000003</v>
      </c>
      <c r="AB219" s="234">
        <f>AA219</f>
        <v>4218.5820000000003</v>
      </c>
    </row>
    <row r="220" spans="1:28">
      <c r="A220" s="1"/>
      <c r="B220" s="11"/>
      <c r="C220" s="129">
        <f>C211</f>
        <v>2023</v>
      </c>
      <c r="D220" s="55"/>
      <c r="E220" s="55"/>
      <c r="F220" s="55"/>
      <c r="G220" s="209">
        <f>G211</f>
        <v>1</v>
      </c>
      <c r="H220" s="55"/>
      <c r="I220" s="224">
        <f t="shared" ref="I220:T221" si="107">IF($G220=0,NA(),I211)</f>
        <v>399.28</v>
      </c>
      <c r="J220" s="225">
        <f t="shared" si="107"/>
        <v>322.50599999999997</v>
      </c>
      <c r="K220" s="225">
        <f t="shared" si="107"/>
        <v>311.14400000000001</v>
      </c>
      <c r="L220" s="225">
        <f t="shared" si="107"/>
        <v>359.55</v>
      </c>
      <c r="M220" s="225">
        <f t="shared" si="107"/>
        <v>446.65600000000001</v>
      </c>
      <c r="N220" s="225">
        <f t="shared" si="107"/>
        <v>530.88</v>
      </c>
      <c r="O220" s="225">
        <f t="shared" si="107"/>
        <v>554.73</v>
      </c>
      <c r="P220" s="225">
        <f t="shared" si="107"/>
        <v>570.15</v>
      </c>
      <c r="Q220" s="225">
        <f t="shared" si="107"/>
        <v>489.51600000000002</v>
      </c>
      <c r="R220" s="225">
        <f t="shared" si="107"/>
        <v>484.2</v>
      </c>
      <c r="S220" s="225">
        <f t="shared" si="107"/>
        <v>470.7</v>
      </c>
      <c r="T220" s="226">
        <f t="shared" si="107"/>
        <v>412.22399999999999</v>
      </c>
      <c r="U220" s="11"/>
      <c r="V220" s="224">
        <f t="shared" si="106"/>
        <v>1032.9299999999998</v>
      </c>
      <c r="W220" s="225">
        <f t="shared" si="106"/>
        <v>1337.086</v>
      </c>
      <c r="X220" s="225">
        <f t="shared" si="106"/>
        <v>1614.3960000000002</v>
      </c>
      <c r="Y220" s="226">
        <f t="shared" si="106"/>
        <v>1367.124</v>
      </c>
      <c r="Z220" s="11"/>
      <c r="AA220" s="224">
        <f>SUM(V220:Y220)</f>
        <v>5351.5360000000001</v>
      </c>
      <c r="AB220" s="226">
        <f t="shared" ref="AB220:AB221" si="108">AA220</f>
        <v>5351.5360000000001</v>
      </c>
    </row>
    <row r="221" spans="1:28">
      <c r="A221" s="1"/>
      <c r="B221" s="11"/>
      <c r="C221" s="129">
        <f>C212</f>
        <v>2024</v>
      </c>
      <c r="D221" s="55"/>
      <c r="E221" s="55"/>
      <c r="F221" s="55"/>
      <c r="G221" s="209">
        <f>G212</f>
        <v>1</v>
      </c>
      <c r="H221" s="55"/>
      <c r="I221" s="224">
        <f t="shared" si="107"/>
        <v>489.6</v>
      </c>
      <c r="J221" s="225">
        <f t="shared" si="107"/>
        <v>428.04399999999998</v>
      </c>
      <c r="K221" s="225">
        <f t="shared" si="107"/>
        <v>418.52800000000002</v>
      </c>
      <c r="L221" s="225">
        <f t="shared" si="107"/>
        <v>480.44600000000003</v>
      </c>
      <c r="M221" s="225">
        <f t="shared" si="107"/>
        <v>568.86400000000003</v>
      </c>
      <c r="N221" s="225">
        <f t="shared" si="107"/>
        <v>661.16399999999999</v>
      </c>
      <c r="O221" s="225">
        <f t="shared" si="107"/>
        <v>669.08799999999997</v>
      </c>
      <c r="P221" s="225">
        <f t="shared" si="107"/>
        <v>693.495</v>
      </c>
      <c r="Q221" s="225">
        <f t="shared" si="107"/>
        <v>611.62300000000005</v>
      </c>
      <c r="R221" s="225">
        <f t="shared" si="107"/>
        <v>610.54499999999996</v>
      </c>
      <c r="S221" s="225">
        <f t="shared" si="107"/>
        <v>587.76</v>
      </c>
      <c r="T221" s="226">
        <f>IF($G221=0,NA(),T212)</f>
        <v>520.41200000000003</v>
      </c>
      <c r="U221" s="11"/>
      <c r="V221" s="224">
        <f t="shared" si="106"/>
        <v>1336.172</v>
      </c>
      <c r="W221" s="225">
        <f t="shared" si="106"/>
        <v>1710.4739999999999</v>
      </c>
      <c r="X221" s="225">
        <f t="shared" si="106"/>
        <v>1974.2060000000001</v>
      </c>
      <c r="Y221" s="226">
        <f t="shared" si="106"/>
        <v>1718.7169999999999</v>
      </c>
      <c r="Z221" s="11"/>
      <c r="AA221" s="224">
        <f>SUM(V221:Y221)</f>
        <v>6739.5689999999995</v>
      </c>
      <c r="AB221" s="226">
        <f t="shared" si="108"/>
        <v>6739.5689999999995</v>
      </c>
    </row>
    <row r="222" spans="1:28">
      <c r="A222" s="1"/>
      <c r="B222" s="11"/>
      <c r="C222" s="179">
        <f>C213</f>
        <v>2025</v>
      </c>
      <c r="D222" s="180" t="s">
        <v>7</v>
      </c>
      <c r="E222" s="55"/>
      <c r="F222" s="55"/>
      <c r="G222" s="235">
        <f>G213</f>
        <v>1</v>
      </c>
      <c r="H222" s="55"/>
      <c r="I222" s="232">
        <f>IF($G222=0,NA(),IFERROR(I213/I191,NA()))</f>
        <v>558</v>
      </c>
      <c r="J222" s="233">
        <f t="shared" ref="J222:T222" si="109">IF($G222=0,NA(),IFERROR(J213/J191,NA()))</f>
        <v>497.55</v>
      </c>
      <c r="K222" s="233">
        <f t="shared" si="109"/>
        <v>502.2</v>
      </c>
      <c r="L222" s="233">
        <f t="shared" si="109"/>
        <v>576</v>
      </c>
      <c r="M222" s="233">
        <f t="shared" si="109"/>
        <v>648</v>
      </c>
      <c r="N222" s="233">
        <f t="shared" si="109"/>
        <v>720</v>
      </c>
      <c r="O222" s="233">
        <f t="shared" si="109"/>
        <v>744</v>
      </c>
      <c r="P222" s="233">
        <f t="shared" si="109"/>
        <v>744</v>
      </c>
      <c r="Q222" s="233">
        <f t="shared" si="109"/>
        <v>696</v>
      </c>
      <c r="R222" s="233">
        <f t="shared" si="109"/>
        <v>672</v>
      </c>
      <c r="S222" s="233">
        <f t="shared" si="109"/>
        <v>648</v>
      </c>
      <c r="T222" s="234">
        <f t="shared" si="109"/>
        <v>624</v>
      </c>
      <c r="U222" s="11"/>
      <c r="V222" s="232">
        <f>IF($G222=0,NA(),IFERROR(V213/V191,NA()))</f>
        <v>1557.75</v>
      </c>
      <c r="W222" s="233">
        <f t="shared" ref="W222:Y222" si="110">IF($G222=0,NA(),IFERROR(W213/W191,NA()))</f>
        <v>1944</v>
      </c>
      <c r="X222" s="233">
        <f t="shared" si="110"/>
        <v>2184</v>
      </c>
      <c r="Y222" s="234">
        <f t="shared" si="110"/>
        <v>1944</v>
      </c>
      <c r="Z222" s="11"/>
      <c r="AA222" s="232">
        <f>SUM(V222:Y222)</f>
        <v>7629.75</v>
      </c>
      <c r="AB222" s="234">
        <f>AA222</f>
        <v>7629.75</v>
      </c>
    </row>
    <row r="223" spans="1:28">
      <c r="A223" s="1"/>
      <c r="B223" s="11"/>
      <c r="C223" s="182">
        <f>$C$78</f>
        <v>2025</v>
      </c>
      <c r="D223" s="183" t="s">
        <v>6</v>
      </c>
      <c r="E223" s="55"/>
      <c r="F223" s="55"/>
      <c r="G223" s="209">
        <f>G222</f>
        <v>1</v>
      </c>
      <c r="H223" s="55"/>
      <c r="I223" s="230">
        <f>IF($G223=0,NA(),I213)</f>
        <v>558</v>
      </c>
      <c r="J223" s="231">
        <f t="shared" ref="J223:T223" si="111">IF($G223=0,NA(),J213)</f>
        <v>497.55</v>
      </c>
      <c r="K223" s="231">
        <f t="shared" si="111"/>
        <v>502.2</v>
      </c>
      <c r="L223" s="231">
        <f t="shared" si="111"/>
        <v>576</v>
      </c>
      <c r="M223" s="231">
        <f t="shared" si="111"/>
        <v>648</v>
      </c>
      <c r="N223" s="231">
        <f t="shared" si="111"/>
        <v>720</v>
      </c>
      <c r="O223" s="231">
        <f t="shared" si="111"/>
        <v>744</v>
      </c>
      <c r="P223" s="231">
        <f t="shared" si="111"/>
        <v>744</v>
      </c>
      <c r="Q223" s="231">
        <f t="shared" si="111"/>
        <v>696</v>
      </c>
      <c r="R223" s="231">
        <f t="shared" si="111"/>
        <v>672</v>
      </c>
      <c r="S223" s="231">
        <f t="shared" si="111"/>
        <v>648</v>
      </c>
      <c r="T223" s="236">
        <f t="shared" si="111"/>
        <v>624</v>
      </c>
      <c r="U223" s="11"/>
      <c r="V223" s="230">
        <f t="shared" ref="V223:Y225" si="112">IF($G223=0,NA(),V213)</f>
        <v>1557.75</v>
      </c>
      <c r="W223" s="231">
        <f t="shared" si="112"/>
        <v>1944</v>
      </c>
      <c r="X223" s="231">
        <f t="shared" si="112"/>
        <v>2184</v>
      </c>
      <c r="Y223" s="236">
        <f t="shared" si="112"/>
        <v>1944</v>
      </c>
      <c r="Z223" s="11"/>
      <c r="AA223" s="230">
        <f>SUM(V223:Y223)</f>
        <v>7629.75</v>
      </c>
      <c r="AB223" s="236">
        <f>AA223</f>
        <v>7629.75</v>
      </c>
    </row>
    <row r="224" spans="1:28">
      <c r="A224" s="1"/>
      <c r="B224" s="11"/>
      <c r="C224" s="185">
        <f>C214</f>
        <v>2026</v>
      </c>
      <c r="D224" s="42"/>
      <c r="E224" s="55"/>
      <c r="F224" s="55"/>
      <c r="G224" s="235">
        <f>G214</f>
        <v>1</v>
      </c>
      <c r="H224" s="55"/>
      <c r="I224" s="224">
        <f t="shared" ref="I224:T225" si="113">IF($G224=0,NA(),I214)</f>
        <v>648</v>
      </c>
      <c r="J224" s="225">
        <f t="shared" si="113"/>
        <v>600</v>
      </c>
      <c r="K224" s="225">
        <f t="shared" si="113"/>
        <v>648</v>
      </c>
      <c r="L224" s="225">
        <f t="shared" si="113"/>
        <v>693</v>
      </c>
      <c r="M224" s="225">
        <f t="shared" si="113"/>
        <v>754.875</v>
      </c>
      <c r="N224" s="225">
        <f t="shared" si="113"/>
        <v>816.75</v>
      </c>
      <c r="O224" s="225">
        <f t="shared" si="113"/>
        <v>841.5</v>
      </c>
      <c r="P224" s="225">
        <f t="shared" si="113"/>
        <v>831.6</v>
      </c>
      <c r="Q224" s="225">
        <f t="shared" si="113"/>
        <v>787.05</v>
      </c>
      <c r="R224" s="225">
        <f t="shared" si="113"/>
        <v>767.25</v>
      </c>
      <c r="S224" s="225">
        <f t="shared" si="113"/>
        <v>754.875</v>
      </c>
      <c r="T224" s="226">
        <f t="shared" si="113"/>
        <v>712.8</v>
      </c>
      <c r="U224" s="11"/>
      <c r="V224" s="224">
        <f t="shared" si="112"/>
        <v>1896</v>
      </c>
      <c r="W224" s="225">
        <f t="shared" si="112"/>
        <v>2264.625</v>
      </c>
      <c r="X224" s="225">
        <f t="shared" si="112"/>
        <v>2460.1499999999996</v>
      </c>
      <c r="Y224" s="226">
        <f t="shared" si="112"/>
        <v>2234.9250000000002</v>
      </c>
      <c r="Z224" s="11"/>
      <c r="AA224" s="224">
        <f t="shared" ref="AA224" si="114">SUM(V224:Y224)</f>
        <v>8855.7000000000007</v>
      </c>
      <c r="AB224" s="226">
        <f>AA224</f>
        <v>8855.7000000000007</v>
      </c>
    </row>
    <row r="225" spans="1:28">
      <c r="A225" s="1"/>
      <c r="B225" s="11"/>
      <c r="C225" s="185" t="s">
        <v>25</v>
      </c>
      <c r="D225" s="42"/>
      <c r="E225" s="42"/>
      <c r="F225" s="42"/>
      <c r="G225" s="229">
        <f>G215</f>
        <v>0</v>
      </c>
      <c r="H225" s="42"/>
      <c r="I225" s="230" t="e">
        <f t="shared" si="113"/>
        <v>#N/A</v>
      </c>
      <c r="J225" s="231" t="e">
        <f t="shared" si="113"/>
        <v>#N/A</v>
      </c>
      <c r="K225" s="231" t="e">
        <f t="shared" si="113"/>
        <v>#N/A</v>
      </c>
      <c r="L225" s="231" t="e">
        <f t="shared" si="113"/>
        <v>#N/A</v>
      </c>
      <c r="M225" s="231" t="e">
        <f t="shared" si="113"/>
        <v>#N/A</v>
      </c>
      <c r="N225" s="231" t="e">
        <f t="shared" si="113"/>
        <v>#N/A</v>
      </c>
      <c r="O225" s="231" t="e">
        <f t="shared" si="113"/>
        <v>#N/A</v>
      </c>
      <c r="P225" s="231" t="e">
        <f t="shared" si="113"/>
        <v>#N/A</v>
      </c>
      <c r="Q225" s="231" t="e">
        <f t="shared" si="113"/>
        <v>#N/A</v>
      </c>
      <c r="R225" s="231" t="e">
        <f t="shared" si="113"/>
        <v>#N/A</v>
      </c>
      <c r="S225" s="231" t="e">
        <f t="shared" si="113"/>
        <v>#N/A</v>
      </c>
      <c r="T225" s="236" t="e">
        <f>IF($G225=0,NA(),T215)</f>
        <v>#N/A</v>
      </c>
      <c r="U225" s="11"/>
      <c r="V225" s="230" t="e">
        <f t="shared" si="112"/>
        <v>#N/A</v>
      </c>
      <c r="W225" s="231" t="e">
        <f t="shared" si="112"/>
        <v>#N/A</v>
      </c>
      <c r="X225" s="231" t="e">
        <f t="shared" si="112"/>
        <v>#N/A</v>
      </c>
      <c r="Y225" s="236" t="e">
        <f t="shared" si="112"/>
        <v>#N/A</v>
      </c>
      <c r="Z225" s="11"/>
      <c r="AA225" s="230" t="e">
        <f>SUM(V225:Y225)</f>
        <v>#N/A</v>
      </c>
      <c r="AB225" s="236" t="e">
        <f>AA225</f>
        <v>#N/A</v>
      </c>
    </row>
  </sheetData>
  <dataValidations disablePrompts="1" count="2">
    <dataValidation type="list" allowBlank="1" showInputMessage="1" showErrorMessage="1" sqref="E9">
      <formula1>$E$65:$F$65</formula1>
    </dataValidation>
    <dataValidation type="list" allowBlank="1" showInputMessage="1" showErrorMessage="1" sqref="E5">
      <formula1>$I$6:$T$6</formula1>
    </dataValidation>
  </dataValidations>
  <pageMargins left="0.7" right="0.7" top="0.75" bottom="0.75" header="0.3" footer="0.3"/>
  <pageSetup scale="3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Prasnnan</dc:creator>
  <cp:lastModifiedBy>Prasnnan</cp:lastModifiedBy>
  <cp:lastPrinted>2026-09-08T04:54:47Z</cp:lastPrinted>
  <dcterms:created xsi:type="dcterms:W3CDTF">2026-09-08T04:50:04Z</dcterms:created>
  <dcterms:modified xsi:type="dcterms:W3CDTF">2026-09-15T04:39:39Z</dcterms:modified>
</cp:coreProperties>
</file>